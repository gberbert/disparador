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co de dados" sheetId="1" r:id="rId4"/>
    <sheet state="visible" name="Dias sem expediente" sheetId="2" r:id="rId5"/>
    <sheet state="visible" name="Dashboard" sheetId="3" r:id="rId6"/>
  </sheets>
  <definedNames>
    <definedName hidden="1" localSheetId="0" name="_xlnm._FilterDatabase">'Banco de dados'!$A$1:$K$112</definedName>
  </definedNames>
  <calcPr/>
</workbook>
</file>

<file path=xl/sharedStrings.xml><?xml version="1.0" encoding="utf-8"?>
<sst xmlns="http://schemas.openxmlformats.org/spreadsheetml/2006/main" count="242" uniqueCount="133">
  <si>
    <t>Empresa/Contrato</t>
  </si>
  <si>
    <t>Colaborador</t>
  </si>
  <si>
    <t>Posto</t>
  </si>
  <si>
    <t>Matrícula</t>
  </si>
  <si>
    <t>Data Aniversário</t>
  </si>
  <si>
    <t>Dia da Semana</t>
  </si>
  <si>
    <t>Aviso 20 dias antes</t>
  </si>
  <si>
    <t>Possível Data do Usufruto</t>
  </si>
  <si>
    <t>Possível dia da semana</t>
  </si>
  <si>
    <t>Data do Usufruto efetivo</t>
  </si>
  <si>
    <t>Dia da semana efetivo</t>
  </si>
  <si>
    <t>FB LIMPEZA-02/2025</t>
  </si>
  <si>
    <t>JOCEMAR DA SILVA</t>
  </si>
  <si>
    <t>NILZA CARLA DA SILVA</t>
  </si>
  <si>
    <t>VINIL OPERACIONAL-06/2021</t>
  </si>
  <si>
    <t>PEDRO HENRIQUE GRIJÓ FREITAS</t>
  </si>
  <si>
    <t>MIRIAM MARIA DA SILVA</t>
  </si>
  <si>
    <t>ALCENIRA DE AZEREDO COUTINHO</t>
  </si>
  <si>
    <t>RODRIGO DE OLIVEIRA HERMES</t>
  </si>
  <si>
    <t>KATIA REGINA DE LIMA</t>
  </si>
  <si>
    <t>ROSINALVA FERREIRA MEIRA</t>
  </si>
  <si>
    <t>G&amp;E COPERAGEM-01/2024</t>
  </si>
  <si>
    <t>NEUZA ALVES DO NASCIMENTO</t>
  </si>
  <si>
    <t>PRISCILLA DA SILVA DO NASCIMENTO</t>
  </si>
  <si>
    <t>MARILDA TRINDADE DOS SANTOS PATRICIO</t>
  </si>
  <si>
    <t>RUANNA VIANA SILVEIRA</t>
  </si>
  <si>
    <t>KARINA ARAUJO FERREIRA</t>
  </si>
  <si>
    <t xml:space="preserve">VITORIA DE SOUZA NUNES DE OLIVEIRA	</t>
  </si>
  <si>
    <t>VANÍSIA LOPES DE LIMA</t>
  </si>
  <si>
    <t>LUCIMAR CARDOSO GOMES</t>
  </si>
  <si>
    <t>ANGÉLICA SANTOS ALVES</t>
  </si>
  <si>
    <t>ERICA CRISTINA EVANGELISTA DE ALMEIDA</t>
  </si>
  <si>
    <t>JOÃO ANTÔNIO ADÃO</t>
  </si>
  <si>
    <t>CRENILDA MARIA DE SOUZA</t>
  </si>
  <si>
    <t>MATHEUS JESUS DE CARVALHO</t>
  </si>
  <si>
    <t>MARIA LAUDICÉIA DO NASCIMENTO</t>
  </si>
  <si>
    <t>ECOLD-04/2025</t>
  </si>
  <si>
    <t xml:space="preserve">SILPHARNY MARQUES MIRANDA	</t>
  </si>
  <si>
    <t>Ajudante</t>
  </si>
  <si>
    <t xml:space="preserve">ANDRESSA RAMOS LIMA	</t>
  </si>
  <si>
    <t>LARYSSA DO AMARAL JANUÁRIO</t>
  </si>
  <si>
    <t>ROSIANE CONRADO DE OLIVEIRA</t>
  </si>
  <si>
    <t>GERALDA DE OLIVEIRA SILVA</t>
  </si>
  <si>
    <t>CLEYTON DOS SANTOS GARCIA</t>
  </si>
  <si>
    <t>VINIL MANUTENÇÃO-10/2022</t>
  </si>
  <si>
    <t xml:space="preserve">LUIZ ANTONIO DOS SANTOS	</t>
  </si>
  <si>
    <t>ANTONIO CARLOS DE OLIVEIRA SANTOS JUNIOR</t>
  </si>
  <si>
    <t>ADRIANA CONCEICAO DA SILVA</t>
  </si>
  <si>
    <t xml:space="preserve">VAGNER DURÃO PASCHOAL	</t>
  </si>
  <si>
    <t>ROSA MARIA PAIVA DE JOAQUIM</t>
  </si>
  <si>
    <t xml:space="preserve">EDUARDO RODRIGUES DA SILVA	</t>
  </si>
  <si>
    <t>MARLON SILVA VIERA</t>
  </si>
  <si>
    <t>MARIA DO SOCORRO DA SILVA MENDES</t>
  </si>
  <si>
    <t>HUMBERTO TOMAZ DA MATA</t>
  </si>
  <si>
    <t>WANDERSON LUIZ COSTA DE MENDONCA FERREIRA</t>
  </si>
  <si>
    <t>VERA LÚCIA DA SILVA</t>
  </si>
  <si>
    <t>MARCELE VIVIANE DOS SANTOS MATHIAS</t>
  </si>
  <si>
    <t>MARIA DA GRAÇAS FIRMINO DOS SANTOS DA SILVA</t>
  </si>
  <si>
    <t>FELIPE DA ROCHA ORNELAS</t>
  </si>
  <si>
    <t>KATIA LUCIA BRITO DA ROCHA</t>
  </si>
  <si>
    <t xml:space="preserve">ANTONIO CARLOS DOS SANTOS	</t>
  </si>
  <si>
    <t xml:space="preserve">ILMARIO SANTOS DA CRUZ	</t>
  </si>
  <si>
    <t>RAFAEL NASCIMENTO GILHO</t>
  </si>
  <si>
    <t>MARCELO MENEZES OLIVEIRA</t>
  </si>
  <si>
    <t>ANA CRISTINA PAULO DOS SANTOS</t>
  </si>
  <si>
    <t>BRENDA CRISTINE PERPETUA BRAZ</t>
  </si>
  <si>
    <t>ELIANE ANTUNES DE OLIVEIRA</t>
  </si>
  <si>
    <t>ELISANGELA DOS SANTOS ALVES BARRETO</t>
  </si>
  <si>
    <t>RAISSA COSTA DE ALMEIDA</t>
  </si>
  <si>
    <t>JACI MARTINS DA SILVA</t>
  </si>
  <si>
    <t>TATIANA QUINTANILHA FREITAS</t>
  </si>
  <si>
    <t>ALISSON FERREIRA DE FREITAS</t>
  </si>
  <si>
    <t>VANESSA DOS SANTOS SILVA</t>
  </si>
  <si>
    <t>VINÍCIUS RODRIGUES DE ALMEIDA</t>
  </si>
  <si>
    <t>CÁTIA CRISTINA TAVARES PIRES</t>
  </si>
  <si>
    <t>MARLUCE CANDIDO DA SILVA</t>
  </si>
  <si>
    <t>ARILSON SOARES RODRIGUES</t>
  </si>
  <si>
    <t>WILLIAM FERREIRA AUGUSTO</t>
  </si>
  <si>
    <t>JOSELICE DE SOUZA DOS SANTOS</t>
  </si>
  <si>
    <t>JÚLIO CÉSAR DA SILVA FONSECA</t>
  </si>
  <si>
    <t>LUIZ EDUARDO CHAGAS DOS SANTOS</t>
  </si>
  <si>
    <t xml:space="preserve">LEONARDO PINHEIRO DA CONCEIÇÃO	</t>
  </si>
  <si>
    <t xml:space="preserve">ANDRE LUIZ DA COSTA MATTOS	</t>
  </si>
  <si>
    <t>FABIANA APARECIDA DE FREITAS</t>
  </si>
  <si>
    <t>VIVIAN HELOISA DA SILVA DOS SANTOS</t>
  </si>
  <si>
    <t xml:space="preserve">ALEXANDRE CESAR DOS SANTOS	</t>
  </si>
  <si>
    <t>NATHÁLIA DE OLIVEIRA NASCIMENTO</t>
  </si>
  <si>
    <t>POLYANA NASCIMENTO CARREGOSA DE OLIVEIRA</t>
  </si>
  <si>
    <t xml:space="preserve">CARLOS AUGUSTO SOUZA	</t>
  </si>
  <si>
    <t>Mecânico de Refrigeração</t>
  </si>
  <si>
    <t>DULCIMAR RAMOS DA SILVA</t>
  </si>
  <si>
    <t>ELOIR RODRIGUES DE SOUZA</t>
  </si>
  <si>
    <t>MARCELO NASCIMENTO DE OLIVEIRA</t>
  </si>
  <si>
    <t>LUCIANO DA SILVA LIMA</t>
  </si>
  <si>
    <t>ALEX CANDIDO DA SILVA</t>
  </si>
  <si>
    <t>RENATA DO VALLE COSTA</t>
  </si>
  <si>
    <t>SIMONE ALVES DOS SANTOS</t>
  </si>
  <si>
    <t>LUCAS FELIPE DUARTE MANFRINO</t>
  </si>
  <si>
    <t>DANIELLE EVANGELISTA DE ALMEIDA LOBO</t>
  </si>
  <si>
    <t>MADELON MIRANDA PINTO</t>
  </si>
  <si>
    <t>KELLY GOMES LOPES</t>
  </si>
  <si>
    <t>VERONICA APARECIDA OLIVEIRA DE SOUZA</t>
  </si>
  <si>
    <t>MARIZIA BARROS RIBEIRO</t>
  </si>
  <si>
    <t>LUANA CRISTINA APARECIDA L. SILVA</t>
  </si>
  <si>
    <t>UELISSON SANTOS DE JESUS</t>
  </si>
  <si>
    <t xml:space="preserve">KAUA DOS SANTOS MATTOS	</t>
  </si>
  <si>
    <t>JOSELIA PERPÉTUA</t>
  </si>
  <si>
    <t>ELINDAI SOUZA DA SILVA</t>
  </si>
  <si>
    <t xml:space="preserve">GILBERTO DAMASIO DOS SANTOS	</t>
  </si>
  <si>
    <t>MARTA DE MELLO SANTOS</t>
  </si>
  <si>
    <t xml:space="preserve">LUCAS SILVA DA COSTA	</t>
  </si>
  <si>
    <t>MÁRCIO MACIEL DA SILVA</t>
  </si>
  <si>
    <t>MICHELE MARQUES SOARES</t>
  </si>
  <si>
    <t>JULIANA RAMOS LOPES</t>
  </si>
  <si>
    <t>ADRIANA SILVA CARVALHO</t>
  </si>
  <si>
    <t>MARCELLO VIEIRA DE FARIAS LOPES</t>
  </si>
  <si>
    <t>TATIANA DA COSTA HOLLANDA CAVALCANTI</t>
  </si>
  <si>
    <t>ANDREZA BÁRBARA DOS SANTOS SILVA</t>
  </si>
  <si>
    <t>MATHEUS CESAR SANTOS DOS SANTOS</t>
  </si>
  <si>
    <t xml:space="preserve">JONATHAN TOSTA DE PAIVA	</t>
  </si>
  <si>
    <t xml:space="preserve">GUSTAVO HORACIO LOPES	</t>
  </si>
  <si>
    <t>NAYARA DA SILVA ELOY</t>
  </si>
  <si>
    <t xml:space="preserve">FABRICIO ALMEIDA HORACIO	</t>
  </si>
  <si>
    <t>GILMARA CAROLINE DOS SANTOS PINTO</t>
  </si>
  <si>
    <t>ANDREIA CRISTINA LOPES RAMOS</t>
  </si>
  <si>
    <t>LUCIMAR MENDES BRAGA</t>
  </si>
  <si>
    <t>KAIO OLIVEIRA SERAPHIM</t>
  </si>
  <si>
    <t>MONICA DA SILVA</t>
  </si>
  <si>
    <t xml:space="preserve">WANDERSON MARTINS MEIRELLES	</t>
  </si>
  <si>
    <t>Dias sem expediente</t>
  </si>
  <si>
    <t>Aniversário</t>
  </si>
  <si>
    <t>Data de Aviso</t>
  </si>
  <si>
    <t>Dias Faltando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</si>
</sst>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Banco de da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as sem expedien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12" displayName="Tabela_Mestra" name="Tabela_Mestra" id="1">
  <autoFilter ref="$A$1:$K$112"/>
  <tableColumns count="11">
    <tableColumn name="Empresa/Contrato" id="1"/>
    <tableColumn name="Colaborador" id="2"/>
    <tableColumn name="Posto" id="3"/>
    <tableColumn name="Matrícula" id="4"/>
    <tableColumn name="Data Aniversário" id="5"/>
    <tableColumn name="Dia da Semana" id="6"/>
    <tableColumn name="Aviso 20 dias antes" id="7"/>
    <tableColumn name="Possível Data do Usufruto" id="8"/>
    <tableColumn name="Possível dia da semana" id="9"/>
    <tableColumn name="Data do Usufruto efetivo" id="10"/>
    <tableColumn name="Dia da semana efetivo" id="11"/>
  </tableColumns>
  <tableStyleInfo name="Banco de dados-style" showColumnStripes="0" showFirstColumn="1" showLastColumn="1" showRowStripes="1"/>
</table>
</file>

<file path=xl/tables/table2.xml><?xml version="1.0" encoding="utf-8"?>
<table xmlns="http://schemas.openxmlformats.org/spreadsheetml/2006/main" ref="B2:B7" displayName="Tabela_1" name="Tabela_1" id="2">
  <tableColumns count="1">
    <tableColumn name="Dias sem expediente" id="1"/>
  </tableColumns>
  <tableStyleInfo name="Dias sem expedien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4.75"/>
    <col customWidth="1" min="2" max="2" width="35.5"/>
    <col customWidth="1" min="3" max="3" width="21.63"/>
    <col customWidth="1" min="4" max="4" width="15.75"/>
    <col customWidth="1" min="5" max="5" width="21.0"/>
    <col customWidth="1" min="6" max="6" width="16.63"/>
    <col customWidth="1" min="7" max="7" width="28.0"/>
    <col customWidth="1" min="8" max="8" width="22.38"/>
    <col customWidth="1" min="9" max="9" width="23.5"/>
    <col customWidth="1" min="10" max="10" width="22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3" t="s">
        <v>11</v>
      </c>
      <c r="B2" s="3" t="s">
        <v>12</v>
      </c>
      <c r="C2" s="3"/>
      <c r="D2" s="4">
        <v>56530.0</v>
      </c>
      <c r="E2" s="5">
        <v>45663.0</v>
      </c>
      <c r="F2" s="3" t="str">
        <f t="shared" ref="F2:F112" si="1">TEXT(E2, "DDDD")</f>
        <v>segunda-feira</v>
      </c>
      <c r="G2" s="6">
        <f t="shared" ref="G2:G112" si="2">IFERROR(DATE(IF(DATE(YEAR(TODAY()), MONTH(E2), DAY(E2)) &lt; TODAY(), YEAR(TODAY())+1, YEAR(TODAY())), MONTH(E2), DAY(E2)) - 20, "")</f>
        <v>46008</v>
      </c>
      <c r="H2" s="6">
        <f>_xlfn.WORKDAY.INTL(E2-1, 1, 1, Tabela_1[Dias sem expediente])</f>
        <v>45663</v>
      </c>
      <c r="I2" s="7" t="str">
        <f t="shared" ref="I2:I112" si="3">TEXT(H2, "DDDD")</f>
        <v>segunda-feira</v>
      </c>
    </row>
    <row r="3" ht="22.5" customHeight="1">
      <c r="A3" s="3" t="s">
        <v>11</v>
      </c>
      <c r="B3" s="3" t="s">
        <v>13</v>
      </c>
      <c r="C3" s="3"/>
      <c r="D3" s="4">
        <v>34219.0</v>
      </c>
      <c r="E3" s="5">
        <v>45669.0</v>
      </c>
      <c r="F3" s="3" t="str">
        <f t="shared" si="1"/>
        <v>domingo</v>
      </c>
      <c r="G3" s="6">
        <f t="shared" si="2"/>
        <v>46014</v>
      </c>
      <c r="H3" s="6">
        <f>_xlfn.WORKDAY.INTL(E3-1, 1, 1, Tabela_1[Dias sem expediente])</f>
        <v>45670</v>
      </c>
      <c r="I3" s="7" t="str">
        <f t="shared" si="3"/>
        <v>segunda-feira</v>
      </c>
    </row>
    <row r="4" ht="22.5" customHeight="1">
      <c r="A4" s="3" t="s">
        <v>14</v>
      </c>
      <c r="B4" s="3" t="s">
        <v>15</v>
      </c>
      <c r="C4" s="3"/>
      <c r="D4" s="4">
        <v>89646.0</v>
      </c>
      <c r="E4" s="5">
        <v>45671.0</v>
      </c>
      <c r="F4" s="3" t="str">
        <f t="shared" si="1"/>
        <v>terça-feira</v>
      </c>
      <c r="G4" s="6">
        <f t="shared" si="2"/>
        <v>46016</v>
      </c>
      <c r="H4" s="6">
        <f>_xlfn.WORKDAY.INTL(E4-1, 1, 1, Tabela_1[Dias sem expediente])</f>
        <v>45671</v>
      </c>
      <c r="I4" s="7" t="str">
        <f t="shared" si="3"/>
        <v>terça-feira</v>
      </c>
    </row>
    <row r="5" ht="22.5" customHeight="1">
      <c r="A5" s="3" t="s">
        <v>11</v>
      </c>
      <c r="B5" s="3" t="s">
        <v>16</v>
      </c>
      <c r="C5" s="3"/>
      <c r="D5" s="4">
        <v>79640.0</v>
      </c>
      <c r="E5" s="5">
        <v>45672.0</v>
      </c>
      <c r="F5" s="3" t="str">
        <f t="shared" si="1"/>
        <v>quarta-feira</v>
      </c>
      <c r="G5" s="6">
        <f t="shared" si="2"/>
        <v>46017</v>
      </c>
      <c r="H5" s="6">
        <f>_xlfn.WORKDAY.INTL(E5-1, 1, 1, Tabela_1[Dias sem expediente])</f>
        <v>45672</v>
      </c>
      <c r="I5" s="7" t="str">
        <f t="shared" si="3"/>
        <v>quarta-feira</v>
      </c>
    </row>
    <row r="6" ht="22.5" customHeight="1">
      <c r="A6" s="3" t="s">
        <v>11</v>
      </c>
      <c r="B6" s="3" t="s">
        <v>17</v>
      </c>
      <c r="C6" s="3"/>
      <c r="D6" s="4">
        <v>93352.0</v>
      </c>
      <c r="E6" s="5">
        <v>45675.0</v>
      </c>
      <c r="F6" s="3" t="str">
        <f t="shared" si="1"/>
        <v>sábado</v>
      </c>
      <c r="G6" s="6">
        <f t="shared" si="2"/>
        <v>46020</v>
      </c>
      <c r="H6" s="6">
        <f>_xlfn.WORKDAY.INTL(E6-1, 1, 1, Tabela_1[Dias sem expediente])</f>
        <v>45677</v>
      </c>
      <c r="I6" s="7" t="str">
        <f t="shared" si="3"/>
        <v>segunda-feira</v>
      </c>
    </row>
    <row r="7" ht="22.5" customHeight="1">
      <c r="A7" s="3" t="s">
        <v>14</v>
      </c>
      <c r="B7" s="3" t="s">
        <v>18</v>
      </c>
      <c r="C7" s="3"/>
      <c r="D7" s="4">
        <v>66162.0</v>
      </c>
      <c r="E7" s="5">
        <v>45675.0</v>
      </c>
      <c r="F7" s="3" t="str">
        <f t="shared" si="1"/>
        <v>sábado</v>
      </c>
      <c r="G7" s="6">
        <f t="shared" si="2"/>
        <v>46020</v>
      </c>
      <c r="H7" s="6">
        <f>_xlfn.WORKDAY.INTL(E7-1, 1, 1, Tabela_1[Dias sem expediente])</f>
        <v>45677</v>
      </c>
      <c r="I7" s="7" t="str">
        <f t="shared" si="3"/>
        <v>segunda-feira</v>
      </c>
    </row>
    <row r="8" ht="22.5" customHeight="1">
      <c r="A8" s="3" t="s">
        <v>11</v>
      </c>
      <c r="B8" s="3" t="s">
        <v>19</v>
      </c>
      <c r="C8" s="3"/>
      <c r="D8" s="4">
        <v>94713.0</v>
      </c>
      <c r="E8" s="5">
        <v>45679.0</v>
      </c>
      <c r="F8" s="3" t="str">
        <f t="shared" si="1"/>
        <v>quarta-feira</v>
      </c>
      <c r="G8" s="6">
        <f t="shared" si="2"/>
        <v>46024</v>
      </c>
      <c r="H8" s="6">
        <f>_xlfn.WORKDAY.INTL(E8-1, 1, 1, Tabela_1[Dias sem expediente])</f>
        <v>45679</v>
      </c>
      <c r="I8" s="7" t="str">
        <f t="shared" si="3"/>
        <v>quarta-feira</v>
      </c>
    </row>
    <row r="9" ht="22.5" customHeight="1">
      <c r="A9" s="3" t="s">
        <v>11</v>
      </c>
      <c r="B9" s="3" t="s">
        <v>20</v>
      </c>
      <c r="C9" s="3"/>
      <c r="D9" s="4">
        <v>70445.0</v>
      </c>
      <c r="E9" s="5">
        <v>45679.0</v>
      </c>
      <c r="F9" s="3" t="str">
        <f t="shared" si="1"/>
        <v>quarta-feira</v>
      </c>
      <c r="G9" s="6">
        <f t="shared" si="2"/>
        <v>46024</v>
      </c>
      <c r="H9" s="6">
        <f>_xlfn.WORKDAY.INTL(E9-1, 1, 1, Tabela_1[Dias sem expediente])</f>
        <v>45679</v>
      </c>
      <c r="I9" s="7" t="str">
        <f t="shared" si="3"/>
        <v>quarta-feira</v>
      </c>
    </row>
    <row r="10" ht="22.5" customHeight="1">
      <c r="A10" s="3" t="s">
        <v>21</v>
      </c>
      <c r="B10" s="3" t="s">
        <v>22</v>
      </c>
      <c r="C10" s="3"/>
      <c r="D10" s="4">
        <v>93288.0</v>
      </c>
      <c r="E10" s="5">
        <v>45685.0</v>
      </c>
      <c r="F10" s="3" t="str">
        <f t="shared" si="1"/>
        <v>terça-feira</v>
      </c>
      <c r="G10" s="6">
        <f t="shared" si="2"/>
        <v>46030</v>
      </c>
      <c r="H10" s="6">
        <f>_xlfn.WORKDAY.INTL(E10-1, 1, 1, Tabela_1[Dias sem expediente])</f>
        <v>45685</v>
      </c>
      <c r="I10" s="7" t="str">
        <f t="shared" si="3"/>
        <v>terça-feira</v>
      </c>
    </row>
    <row r="11" ht="22.5" customHeight="1">
      <c r="A11" s="3" t="s">
        <v>14</v>
      </c>
      <c r="B11" s="3" t="s">
        <v>23</v>
      </c>
      <c r="C11" s="3"/>
      <c r="D11" s="4">
        <v>68160.0</v>
      </c>
      <c r="E11" s="5">
        <v>45688.0</v>
      </c>
      <c r="F11" s="3" t="str">
        <f t="shared" si="1"/>
        <v>sexta-feira</v>
      </c>
      <c r="G11" s="6">
        <f t="shared" si="2"/>
        <v>46033</v>
      </c>
      <c r="H11" s="6">
        <f>_xlfn.WORKDAY.INTL(E11-1, 1, 1, Tabela_1[Dias sem expediente])</f>
        <v>45688</v>
      </c>
      <c r="I11" s="7" t="str">
        <f t="shared" si="3"/>
        <v>sexta-feira</v>
      </c>
    </row>
    <row r="12" ht="22.5" customHeight="1">
      <c r="A12" s="3" t="s">
        <v>11</v>
      </c>
      <c r="B12" s="3" t="s">
        <v>24</v>
      </c>
      <c r="C12" s="3"/>
      <c r="D12" s="4">
        <v>79639.0</v>
      </c>
      <c r="E12" s="5">
        <v>45691.0</v>
      </c>
      <c r="F12" s="3" t="str">
        <f t="shared" si="1"/>
        <v>segunda-feira</v>
      </c>
      <c r="G12" s="6">
        <f t="shared" si="2"/>
        <v>46036</v>
      </c>
      <c r="H12" s="6">
        <f>_xlfn.WORKDAY.INTL(E12-1, 1, 1, Tabela_1[Dias sem expediente])</f>
        <v>45691</v>
      </c>
      <c r="I12" s="7" t="str">
        <f t="shared" si="3"/>
        <v>segunda-feira</v>
      </c>
    </row>
    <row r="13" ht="22.5" customHeight="1">
      <c r="A13" s="3" t="s">
        <v>14</v>
      </c>
      <c r="B13" s="3" t="s">
        <v>25</v>
      </c>
      <c r="C13" s="3"/>
      <c r="D13" s="4">
        <v>93841.0</v>
      </c>
      <c r="E13" s="5">
        <v>45691.0</v>
      </c>
      <c r="F13" s="3" t="str">
        <f t="shared" si="1"/>
        <v>segunda-feira</v>
      </c>
      <c r="G13" s="6">
        <f t="shared" si="2"/>
        <v>46036</v>
      </c>
      <c r="H13" s="6">
        <f>_xlfn.WORKDAY.INTL(E13-1, 1, 1, Tabela_1[Dias sem expediente])</f>
        <v>45691</v>
      </c>
      <c r="I13" s="7" t="str">
        <f t="shared" si="3"/>
        <v>segunda-feira</v>
      </c>
    </row>
    <row r="14" ht="22.5" customHeight="1">
      <c r="A14" s="3" t="s">
        <v>11</v>
      </c>
      <c r="B14" s="3" t="s">
        <v>26</v>
      </c>
      <c r="C14" s="3"/>
      <c r="D14" s="4">
        <v>97177.0</v>
      </c>
      <c r="E14" s="5">
        <v>45692.0</v>
      </c>
      <c r="F14" s="3" t="str">
        <f t="shared" si="1"/>
        <v>terça-feira</v>
      </c>
      <c r="G14" s="6">
        <f t="shared" si="2"/>
        <v>46037</v>
      </c>
      <c r="H14" s="6">
        <f>_xlfn.WORKDAY.INTL(E14-1, 1, 1, Tabela_1[Dias sem expediente])</f>
        <v>45692</v>
      </c>
      <c r="I14" s="7" t="str">
        <f t="shared" si="3"/>
        <v>terça-feira</v>
      </c>
    </row>
    <row r="15" ht="22.5" customHeight="1">
      <c r="A15" s="3" t="s">
        <v>14</v>
      </c>
      <c r="B15" s="3" t="s">
        <v>27</v>
      </c>
      <c r="C15" s="3"/>
      <c r="D15" s="4">
        <v>90082.0</v>
      </c>
      <c r="E15" s="5">
        <v>45692.0</v>
      </c>
      <c r="F15" s="3" t="str">
        <f t="shared" si="1"/>
        <v>terça-feira</v>
      </c>
      <c r="G15" s="6">
        <f t="shared" si="2"/>
        <v>46037</v>
      </c>
      <c r="H15" s="6">
        <f>_xlfn.WORKDAY.INTL(E15-1, 1, 1, Tabela_1[Dias sem expediente])</f>
        <v>45692</v>
      </c>
      <c r="I15" s="7" t="str">
        <f t="shared" si="3"/>
        <v>terça-feira</v>
      </c>
    </row>
    <row r="16" ht="22.5" customHeight="1">
      <c r="A16" s="3" t="s">
        <v>21</v>
      </c>
      <c r="B16" s="3" t="s">
        <v>28</v>
      </c>
      <c r="C16" s="3"/>
      <c r="D16" s="4">
        <v>92556.0</v>
      </c>
      <c r="E16" s="5">
        <v>45693.0</v>
      </c>
      <c r="F16" s="3" t="str">
        <f t="shared" si="1"/>
        <v>quarta-feira</v>
      </c>
      <c r="G16" s="6">
        <f t="shared" si="2"/>
        <v>46038</v>
      </c>
      <c r="H16" s="6">
        <f>_xlfn.WORKDAY.INTL(E16-1, 1, 1, Tabela_1[Dias sem expediente])</f>
        <v>45693</v>
      </c>
      <c r="I16" s="7" t="str">
        <f t="shared" si="3"/>
        <v>quarta-feira</v>
      </c>
    </row>
    <row r="17" ht="22.5" customHeight="1">
      <c r="A17" s="3" t="s">
        <v>11</v>
      </c>
      <c r="B17" s="3" t="s">
        <v>29</v>
      </c>
      <c r="C17" s="3"/>
      <c r="D17" s="4">
        <v>90560.0</v>
      </c>
      <c r="E17" s="5">
        <v>45696.0</v>
      </c>
      <c r="F17" s="3" t="str">
        <f t="shared" si="1"/>
        <v>sábado</v>
      </c>
      <c r="G17" s="6">
        <f t="shared" si="2"/>
        <v>46041</v>
      </c>
      <c r="H17" s="6">
        <f>_xlfn.WORKDAY.INTL(E17-1, 1, 1, Tabela_1[Dias sem expediente])</f>
        <v>45698</v>
      </c>
      <c r="I17" s="7" t="str">
        <f t="shared" si="3"/>
        <v>segunda-feira</v>
      </c>
    </row>
    <row r="18" ht="22.5" customHeight="1">
      <c r="A18" s="3" t="s">
        <v>21</v>
      </c>
      <c r="B18" s="3" t="s">
        <v>30</v>
      </c>
      <c r="C18" s="3"/>
      <c r="D18" s="4">
        <v>93797.0</v>
      </c>
      <c r="E18" s="5">
        <v>45705.0</v>
      </c>
      <c r="F18" s="3" t="str">
        <f t="shared" si="1"/>
        <v>segunda-feira</v>
      </c>
      <c r="G18" s="6">
        <f t="shared" si="2"/>
        <v>46050</v>
      </c>
      <c r="H18" s="6">
        <f>_xlfn.WORKDAY.INTL(E18-1, 1, 1, Tabela_1[Dias sem expediente])</f>
        <v>45705</v>
      </c>
      <c r="I18" s="7" t="str">
        <f t="shared" si="3"/>
        <v>segunda-feira</v>
      </c>
    </row>
    <row r="19" ht="22.5" customHeight="1">
      <c r="A19" s="3" t="s">
        <v>11</v>
      </c>
      <c r="B19" s="3" t="s">
        <v>31</v>
      </c>
      <c r="C19" s="3"/>
      <c r="D19" s="4">
        <v>90088.0</v>
      </c>
      <c r="E19" s="5">
        <v>45707.0</v>
      </c>
      <c r="F19" s="3" t="str">
        <f t="shared" si="1"/>
        <v>quarta-feira</v>
      </c>
      <c r="G19" s="6">
        <f t="shared" si="2"/>
        <v>46052</v>
      </c>
      <c r="H19" s="6">
        <f>_xlfn.WORKDAY.INTL(E19-1, 1, 1, Tabela_1[Dias sem expediente])</f>
        <v>45707</v>
      </c>
      <c r="I19" s="7" t="str">
        <f t="shared" si="3"/>
        <v>quarta-feira</v>
      </c>
    </row>
    <row r="20" ht="22.5" customHeight="1">
      <c r="A20" s="3" t="s">
        <v>14</v>
      </c>
      <c r="B20" s="3" t="s">
        <v>32</v>
      </c>
      <c r="C20" s="3"/>
      <c r="D20" s="4">
        <v>68354.0</v>
      </c>
      <c r="E20" s="5">
        <v>45726.0</v>
      </c>
      <c r="F20" s="3" t="str">
        <f t="shared" si="1"/>
        <v>segunda-feira</v>
      </c>
      <c r="G20" s="6">
        <f t="shared" si="2"/>
        <v>46071</v>
      </c>
      <c r="H20" s="6">
        <f>_xlfn.WORKDAY.INTL(E20-1, 1, 1, Tabela_1[Dias sem expediente])</f>
        <v>45726</v>
      </c>
      <c r="I20" s="7" t="str">
        <f t="shared" si="3"/>
        <v>segunda-feira</v>
      </c>
    </row>
    <row r="21" ht="22.5" customHeight="1">
      <c r="A21" s="3" t="s">
        <v>21</v>
      </c>
      <c r="B21" s="3" t="s">
        <v>33</v>
      </c>
      <c r="C21" s="3"/>
      <c r="D21" s="4">
        <v>51524.0</v>
      </c>
      <c r="E21" s="5">
        <v>45729.0</v>
      </c>
      <c r="F21" s="3" t="str">
        <f t="shared" si="1"/>
        <v>quinta-feira</v>
      </c>
      <c r="G21" s="6">
        <f t="shared" si="2"/>
        <v>46074</v>
      </c>
      <c r="H21" s="6">
        <f>_xlfn.WORKDAY.INTL(E21-1, 1, 1, Tabela_1[Dias sem expediente])</f>
        <v>45729</v>
      </c>
      <c r="I21" s="7" t="str">
        <f t="shared" si="3"/>
        <v>quinta-feira</v>
      </c>
    </row>
    <row r="22" ht="22.5" customHeight="1">
      <c r="A22" s="3" t="s">
        <v>14</v>
      </c>
      <c r="B22" s="3" t="s">
        <v>34</v>
      </c>
      <c r="C22" s="3"/>
      <c r="D22" s="4">
        <v>81178.0</v>
      </c>
      <c r="E22" s="5">
        <v>45730.0</v>
      </c>
      <c r="F22" s="3" t="str">
        <f t="shared" si="1"/>
        <v>sexta-feira</v>
      </c>
      <c r="G22" s="6">
        <f t="shared" si="2"/>
        <v>46075</v>
      </c>
      <c r="H22" s="6">
        <f>_xlfn.WORKDAY.INTL(E22-1, 1, 1, Tabela_1[Dias sem expediente])</f>
        <v>45730</v>
      </c>
      <c r="I22" s="7" t="str">
        <f t="shared" si="3"/>
        <v>sexta-feira</v>
      </c>
    </row>
    <row r="23" ht="22.5" customHeight="1">
      <c r="A23" s="3" t="s">
        <v>21</v>
      </c>
      <c r="B23" s="3" t="s">
        <v>35</v>
      </c>
      <c r="C23" s="3"/>
      <c r="D23" s="4">
        <v>93799.0</v>
      </c>
      <c r="E23" s="5">
        <v>45741.0</v>
      </c>
      <c r="F23" s="3" t="str">
        <f t="shared" si="1"/>
        <v>terça-feira</v>
      </c>
      <c r="G23" s="6">
        <f t="shared" si="2"/>
        <v>46086</v>
      </c>
      <c r="H23" s="6">
        <f>_xlfn.WORKDAY.INTL(E23-1, 1, 1, Tabela_1[Dias sem expediente])</f>
        <v>45741</v>
      </c>
      <c r="I23" s="7" t="str">
        <f t="shared" si="3"/>
        <v>terça-feira</v>
      </c>
    </row>
    <row r="24" ht="22.5" customHeight="1">
      <c r="A24" s="3" t="s">
        <v>36</v>
      </c>
      <c r="B24" s="3" t="s">
        <v>37</v>
      </c>
      <c r="C24" s="3" t="s">
        <v>38</v>
      </c>
      <c r="D24" s="4">
        <v>97340.0</v>
      </c>
      <c r="E24" s="5">
        <v>45742.0</v>
      </c>
      <c r="F24" s="3" t="str">
        <f t="shared" si="1"/>
        <v>quarta-feira</v>
      </c>
      <c r="G24" s="6">
        <f t="shared" si="2"/>
        <v>46087</v>
      </c>
      <c r="H24" s="6">
        <f>_xlfn.WORKDAY.INTL(E24-1, 1, 1, Tabela_1[Dias sem expediente])</f>
        <v>45742</v>
      </c>
      <c r="I24" s="7" t="str">
        <f t="shared" si="3"/>
        <v>quarta-feira</v>
      </c>
    </row>
    <row r="25" ht="22.5" customHeight="1">
      <c r="A25" s="3" t="s">
        <v>14</v>
      </c>
      <c r="B25" s="3" t="s">
        <v>39</v>
      </c>
      <c r="C25" s="3"/>
      <c r="D25" s="4">
        <v>84214.0</v>
      </c>
      <c r="E25" s="5">
        <v>45746.0</v>
      </c>
      <c r="F25" s="3" t="str">
        <f t="shared" si="1"/>
        <v>domingo</v>
      </c>
      <c r="G25" s="6">
        <f t="shared" si="2"/>
        <v>46091</v>
      </c>
      <c r="H25" s="6">
        <f>_xlfn.WORKDAY.INTL(E25-1, 1, 1, Tabela_1[Dias sem expediente])</f>
        <v>45747</v>
      </c>
      <c r="I25" s="7" t="str">
        <f t="shared" si="3"/>
        <v>segunda-feira</v>
      </c>
    </row>
    <row r="26" ht="22.5" customHeight="1">
      <c r="A26" s="3" t="s">
        <v>14</v>
      </c>
      <c r="B26" s="3" t="s">
        <v>40</v>
      </c>
      <c r="C26" s="3"/>
      <c r="D26" s="4">
        <v>89751.0</v>
      </c>
      <c r="E26" s="5">
        <v>45747.0</v>
      </c>
      <c r="F26" s="3" t="str">
        <f t="shared" si="1"/>
        <v>segunda-feira</v>
      </c>
      <c r="G26" s="6">
        <f t="shared" si="2"/>
        <v>46092</v>
      </c>
      <c r="H26" s="6">
        <f>_xlfn.WORKDAY.INTL(E26-1, 1, 1, Tabela_1[Dias sem expediente])</f>
        <v>45747</v>
      </c>
      <c r="I26" s="7" t="str">
        <f t="shared" si="3"/>
        <v>segunda-feira</v>
      </c>
    </row>
    <row r="27" ht="22.5" customHeight="1">
      <c r="A27" s="3" t="s">
        <v>14</v>
      </c>
      <c r="B27" s="3" t="s">
        <v>41</v>
      </c>
      <c r="C27" s="3"/>
      <c r="D27" s="4">
        <v>94152.0</v>
      </c>
      <c r="E27" s="5">
        <v>45758.0</v>
      </c>
      <c r="F27" s="3" t="str">
        <f t="shared" si="1"/>
        <v>sexta-feira</v>
      </c>
      <c r="G27" s="6">
        <f t="shared" si="2"/>
        <v>46103</v>
      </c>
      <c r="H27" s="6">
        <f>_xlfn.WORKDAY.INTL(E27-1, 1, 1, Tabela_1[Dias sem expediente])</f>
        <v>45758</v>
      </c>
      <c r="I27" s="7" t="str">
        <f t="shared" si="3"/>
        <v>sexta-feira</v>
      </c>
    </row>
    <row r="28" ht="22.5" customHeight="1">
      <c r="A28" s="3" t="s">
        <v>21</v>
      </c>
      <c r="B28" s="3" t="s">
        <v>42</v>
      </c>
      <c r="C28" s="3"/>
      <c r="D28" s="4">
        <v>95318.0</v>
      </c>
      <c r="E28" s="5">
        <v>45761.0</v>
      </c>
      <c r="F28" s="3" t="str">
        <f t="shared" si="1"/>
        <v>segunda-feira</v>
      </c>
      <c r="G28" s="6">
        <f t="shared" si="2"/>
        <v>46106</v>
      </c>
      <c r="H28" s="6">
        <f>_xlfn.WORKDAY.INTL(E28-1, 1, 1, Tabela_1[Dias sem expediente])</f>
        <v>45761</v>
      </c>
      <c r="I28" s="7" t="str">
        <f t="shared" si="3"/>
        <v>segunda-feira</v>
      </c>
    </row>
    <row r="29" ht="22.5" customHeight="1">
      <c r="A29" s="3" t="s">
        <v>11</v>
      </c>
      <c r="B29" s="3" t="s">
        <v>43</v>
      </c>
      <c r="C29" s="3"/>
      <c r="D29" s="4">
        <v>89890.0</v>
      </c>
      <c r="E29" s="5">
        <v>45765.0</v>
      </c>
      <c r="F29" s="3" t="str">
        <f t="shared" si="1"/>
        <v>sexta-feira</v>
      </c>
      <c r="G29" s="6">
        <f t="shared" si="2"/>
        <v>46110</v>
      </c>
      <c r="H29" s="6">
        <f>_xlfn.WORKDAY.INTL(E29-1, 1, 1, Tabela_1[Dias sem expediente])</f>
        <v>45765</v>
      </c>
      <c r="I29" s="7" t="str">
        <f t="shared" si="3"/>
        <v>sexta-feira</v>
      </c>
    </row>
    <row r="30" ht="22.5" customHeight="1">
      <c r="A30" s="3" t="s">
        <v>44</v>
      </c>
      <c r="B30" s="3" t="s">
        <v>45</v>
      </c>
      <c r="C30" s="3"/>
      <c r="D30" s="4">
        <v>90833.0</v>
      </c>
      <c r="E30" s="5">
        <v>45768.0</v>
      </c>
      <c r="F30" s="3" t="str">
        <f t="shared" si="1"/>
        <v>segunda-feira</v>
      </c>
      <c r="G30" s="6">
        <f t="shared" si="2"/>
        <v>46113</v>
      </c>
      <c r="H30" s="6">
        <f>_xlfn.WORKDAY.INTL(E30-1, 1, 1, Tabela_1[Dias sem expediente])</f>
        <v>45768</v>
      </c>
      <c r="I30" s="7" t="str">
        <f t="shared" si="3"/>
        <v>segunda-feira</v>
      </c>
    </row>
    <row r="31" ht="22.5" customHeight="1">
      <c r="A31" s="3" t="s">
        <v>14</v>
      </c>
      <c r="B31" s="3" t="s">
        <v>46</v>
      </c>
      <c r="C31" s="3"/>
      <c r="D31" s="4">
        <v>72263.0</v>
      </c>
      <c r="E31" s="5">
        <v>45768.0</v>
      </c>
      <c r="F31" s="3" t="str">
        <f t="shared" si="1"/>
        <v>segunda-feira</v>
      </c>
      <c r="G31" s="6">
        <f t="shared" si="2"/>
        <v>46113</v>
      </c>
      <c r="H31" s="6">
        <f>_xlfn.WORKDAY.INTL(E31-1, 1, 1, Tabela_1[Dias sem expediente])</f>
        <v>45768</v>
      </c>
      <c r="I31" s="7" t="str">
        <f t="shared" si="3"/>
        <v>segunda-feira</v>
      </c>
    </row>
    <row r="32" ht="22.5" customHeight="1">
      <c r="A32" s="3" t="s">
        <v>11</v>
      </c>
      <c r="B32" s="3" t="s">
        <v>47</v>
      </c>
      <c r="C32" s="3"/>
      <c r="D32" s="4">
        <v>62201.0</v>
      </c>
      <c r="E32" s="5">
        <v>45771.0</v>
      </c>
      <c r="F32" s="3" t="str">
        <f t="shared" si="1"/>
        <v>quinta-feira</v>
      </c>
      <c r="G32" s="6">
        <f t="shared" si="2"/>
        <v>46116</v>
      </c>
      <c r="H32" s="6">
        <f>_xlfn.WORKDAY.INTL(E32-1, 1, 1, Tabela_1[Dias sem expediente])</f>
        <v>45771</v>
      </c>
      <c r="I32" s="7" t="str">
        <f t="shared" si="3"/>
        <v>quinta-feira</v>
      </c>
    </row>
    <row r="33" ht="22.5" customHeight="1">
      <c r="A33" s="3" t="s">
        <v>44</v>
      </c>
      <c r="B33" s="3" t="s">
        <v>48</v>
      </c>
      <c r="C33" s="3"/>
      <c r="D33" s="4">
        <v>88717.0</v>
      </c>
      <c r="E33" s="5">
        <v>45774.0</v>
      </c>
      <c r="F33" s="3" t="str">
        <f t="shared" si="1"/>
        <v>domingo</v>
      </c>
      <c r="G33" s="6">
        <f t="shared" si="2"/>
        <v>46119</v>
      </c>
      <c r="H33" s="6">
        <f>_xlfn.WORKDAY.INTL(E33-1, 1, 1, Tabela_1[Dias sem expediente])</f>
        <v>45775</v>
      </c>
      <c r="I33" s="7" t="str">
        <f t="shared" si="3"/>
        <v>segunda-feira</v>
      </c>
    </row>
    <row r="34" ht="22.5" customHeight="1">
      <c r="A34" s="3" t="s">
        <v>14</v>
      </c>
      <c r="B34" s="3" t="s">
        <v>49</v>
      </c>
      <c r="C34" s="3"/>
      <c r="D34" s="4">
        <v>47861.0</v>
      </c>
      <c r="E34" s="5">
        <v>45774.0</v>
      </c>
      <c r="F34" s="3" t="str">
        <f t="shared" si="1"/>
        <v>domingo</v>
      </c>
      <c r="G34" s="6">
        <f t="shared" si="2"/>
        <v>46119</v>
      </c>
      <c r="H34" s="6">
        <f>_xlfn.WORKDAY.INTL(E34-1, 1, 1, Tabela_1[Dias sem expediente])</f>
        <v>45775</v>
      </c>
      <c r="I34" s="7" t="str">
        <f t="shared" si="3"/>
        <v>segunda-feira</v>
      </c>
    </row>
    <row r="35" ht="22.5" customHeight="1">
      <c r="A35" s="3" t="s">
        <v>14</v>
      </c>
      <c r="B35" s="3" t="s">
        <v>50</v>
      </c>
      <c r="C35" s="3"/>
      <c r="D35" s="4">
        <v>88691.0</v>
      </c>
      <c r="E35" s="5">
        <v>45779.0</v>
      </c>
      <c r="F35" s="3" t="str">
        <f t="shared" si="1"/>
        <v>sexta-feira</v>
      </c>
      <c r="G35" s="6">
        <f t="shared" si="2"/>
        <v>46124</v>
      </c>
      <c r="H35" s="6">
        <f>_xlfn.WORKDAY.INTL(E35-1, 1, 1, Tabela_1[Dias sem expediente])</f>
        <v>45779</v>
      </c>
      <c r="I35" s="7" t="str">
        <f t="shared" si="3"/>
        <v>sexta-feira</v>
      </c>
    </row>
    <row r="36" ht="22.5" customHeight="1">
      <c r="A36" s="3" t="s">
        <v>14</v>
      </c>
      <c r="B36" s="3" t="s">
        <v>51</v>
      </c>
      <c r="C36" s="3"/>
      <c r="D36" s="4">
        <v>45202.0</v>
      </c>
      <c r="E36" s="5">
        <v>45784.0</v>
      </c>
      <c r="F36" s="3" t="str">
        <f t="shared" si="1"/>
        <v>quarta-feira</v>
      </c>
      <c r="G36" s="6">
        <f t="shared" si="2"/>
        <v>46129</v>
      </c>
      <c r="H36" s="6">
        <f>_xlfn.WORKDAY.INTL(E36-1, 1, 1, Tabela_1[Dias sem expediente])</f>
        <v>45784</v>
      </c>
      <c r="I36" s="7" t="str">
        <f t="shared" si="3"/>
        <v>quarta-feira</v>
      </c>
    </row>
    <row r="37" ht="22.5" customHeight="1">
      <c r="A37" s="3" t="s">
        <v>11</v>
      </c>
      <c r="B37" s="3" t="s">
        <v>52</v>
      </c>
      <c r="C37" s="3"/>
      <c r="D37" s="4">
        <v>70562.0</v>
      </c>
      <c r="E37" s="5">
        <v>45786.0</v>
      </c>
      <c r="F37" s="3" t="str">
        <f t="shared" si="1"/>
        <v>sexta-feira</v>
      </c>
      <c r="G37" s="6">
        <f t="shared" si="2"/>
        <v>46131</v>
      </c>
      <c r="H37" s="6">
        <f>_xlfn.WORKDAY.INTL(E37-1, 1, 1, Tabela_1[Dias sem expediente])</f>
        <v>45786</v>
      </c>
      <c r="I37" s="7" t="str">
        <f t="shared" si="3"/>
        <v>sexta-feira</v>
      </c>
    </row>
    <row r="38" ht="22.5" customHeight="1">
      <c r="A38" s="3" t="s">
        <v>14</v>
      </c>
      <c r="B38" s="3" t="s">
        <v>53</v>
      </c>
      <c r="C38" s="3"/>
      <c r="D38" s="4">
        <v>68152.0</v>
      </c>
      <c r="E38" s="5">
        <v>45792.0</v>
      </c>
      <c r="F38" s="3" t="str">
        <f t="shared" si="1"/>
        <v>quinta-feira</v>
      </c>
      <c r="G38" s="6">
        <f t="shared" si="2"/>
        <v>46137</v>
      </c>
      <c r="H38" s="6">
        <f>_xlfn.WORKDAY.INTL(E38-1, 1, 1, Tabela_1[Dias sem expediente])</f>
        <v>45792</v>
      </c>
      <c r="I38" s="7" t="str">
        <f t="shared" si="3"/>
        <v>quinta-feira</v>
      </c>
    </row>
    <row r="39" ht="22.5" customHeight="1">
      <c r="A39" s="3" t="s">
        <v>11</v>
      </c>
      <c r="B39" s="3" t="s">
        <v>54</v>
      </c>
      <c r="C39" s="3"/>
      <c r="D39" s="4">
        <v>93240.0</v>
      </c>
      <c r="E39" s="5">
        <v>45794.0</v>
      </c>
      <c r="F39" s="3" t="str">
        <f t="shared" si="1"/>
        <v>sábado</v>
      </c>
      <c r="G39" s="6">
        <f t="shared" si="2"/>
        <v>46139</v>
      </c>
      <c r="H39" s="6">
        <f>_xlfn.WORKDAY.INTL(E39-1, 1, 1, Tabela_1[Dias sem expediente])</f>
        <v>45796</v>
      </c>
      <c r="I39" s="7" t="str">
        <f t="shared" si="3"/>
        <v>segunda-feira</v>
      </c>
    </row>
    <row r="40" ht="22.5" customHeight="1">
      <c r="A40" s="3" t="s">
        <v>21</v>
      </c>
      <c r="B40" s="3" t="s">
        <v>55</v>
      </c>
      <c r="C40" s="3"/>
      <c r="D40" s="4">
        <v>93196.0</v>
      </c>
      <c r="E40" s="5">
        <v>45794.0</v>
      </c>
      <c r="F40" s="3" t="str">
        <f t="shared" si="1"/>
        <v>sábado</v>
      </c>
      <c r="G40" s="6">
        <f t="shared" si="2"/>
        <v>46139</v>
      </c>
      <c r="H40" s="6">
        <f>_xlfn.WORKDAY.INTL(E40-1, 1, 1, Tabela_1[Dias sem expediente])</f>
        <v>45796</v>
      </c>
      <c r="I40" s="7" t="str">
        <f t="shared" si="3"/>
        <v>segunda-feira</v>
      </c>
    </row>
    <row r="41" ht="22.5" customHeight="1">
      <c r="A41" s="3" t="s">
        <v>14</v>
      </c>
      <c r="B41" s="3" t="s">
        <v>56</v>
      </c>
      <c r="C41" s="3"/>
      <c r="D41" s="4">
        <v>68158.0</v>
      </c>
      <c r="E41" s="5">
        <v>45796.0</v>
      </c>
      <c r="F41" s="3" t="str">
        <f t="shared" si="1"/>
        <v>segunda-feira</v>
      </c>
      <c r="G41" s="6">
        <f t="shared" si="2"/>
        <v>46141</v>
      </c>
      <c r="H41" s="6">
        <f>_xlfn.WORKDAY.INTL(E41-1, 1, 1, Tabela_1[Dias sem expediente])</f>
        <v>45796</v>
      </c>
      <c r="I41" s="7" t="str">
        <f t="shared" si="3"/>
        <v>segunda-feira</v>
      </c>
    </row>
    <row r="42" ht="22.5" customHeight="1">
      <c r="A42" s="3" t="s">
        <v>21</v>
      </c>
      <c r="B42" s="3" t="s">
        <v>57</v>
      </c>
      <c r="C42" s="3"/>
      <c r="D42" s="4">
        <v>51529.0</v>
      </c>
      <c r="E42" s="5">
        <v>45798.0</v>
      </c>
      <c r="F42" s="3" t="str">
        <f t="shared" si="1"/>
        <v>quarta-feira</v>
      </c>
      <c r="G42" s="6">
        <f t="shared" si="2"/>
        <v>46143</v>
      </c>
      <c r="H42" s="6">
        <f>_xlfn.WORKDAY.INTL(E42-1, 1, 1, Tabela_1[Dias sem expediente])</f>
        <v>45798</v>
      </c>
      <c r="I42" s="7" t="str">
        <f t="shared" si="3"/>
        <v>quarta-feira</v>
      </c>
    </row>
    <row r="43" ht="22.5" customHeight="1">
      <c r="A43" s="3" t="s">
        <v>14</v>
      </c>
      <c r="B43" s="3" t="s">
        <v>58</v>
      </c>
      <c r="C43" s="3"/>
      <c r="D43" s="4">
        <v>93344.0</v>
      </c>
      <c r="E43" s="5">
        <v>45798.0</v>
      </c>
      <c r="F43" s="3" t="str">
        <f t="shared" si="1"/>
        <v>quarta-feira</v>
      </c>
      <c r="G43" s="6">
        <f t="shared" si="2"/>
        <v>46143</v>
      </c>
      <c r="H43" s="6">
        <f>_xlfn.WORKDAY.INTL(E43-1, 1, 1, Tabela_1[Dias sem expediente])</f>
        <v>45798</v>
      </c>
      <c r="I43" s="7" t="str">
        <f t="shared" si="3"/>
        <v>quarta-feira</v>
      </c>
    </row>
    <row r="44" ht="22.5" customHeight="1">
      <c r="A44" s="3" t="s">
        <v>11</v>
      </c>
      <c r="B44" s="3" t="s">
        <v>59</v>
      </c>
      <c r="C44" s="3"/>
      <c r="D44" s="4">
        <v>93469.0</v>
      </c>
      <c r="E44" s="5">
        <v>45800.0</v>
      </c>
      <c r="F44" s="3" t="str">
        <f t="shared" si="1"/>
        <v>sexta-feira</v>
      </c>
      <c r="G44" s="6">
        <f t="shared" si="2"/>
        <v>46145</v>
      </c>
      <c r="H44" s="6">
        <f>_xlfn.WORKDAY.INTL(E44-1, 1, 1, Tabela_1[Dias sem expediente])</f>
        <v>45800</v>
      </c>
      <c r="I44" s="7" t="str">
        <f t="shared" si="3"/>
        <v>sexta-feira</v>
      </c>
    </row>
    <row r="45" ht="22.5" customHeight="1">
      <c r="A45" s="3" t="s">
        <v>14</v>
      </c>
      <c r="B45" s="3" t="s">
        <v>60</v>
      </c>
      <c r="C45" s="3"/>
      <c r="D45" s="4">
        <v>68346.0</v>
      </c>
      <c r="E45" s="5">
        <v>45800.0</v>
      </c>
      <c r="F45" s="3" t="str">
        <f t="shared" si="1"/>
        <v>sexta-feira</v>
      </c>
      <c r="G45" s="6">
        <f t="shared" si="2"/>
        <v>46145</v>
      </c>
      <c r="H45" s="6">
        <f>_xlfn.WORKDAY.INTL(E45-1, 1, 1, Tabela_1[Dias sem expediente])</f>
        <v>45800</v>
      </c>
      <c r="I45" s="7" t="str">
        <f t="shared" si="3"/>
        <v>sexta-feira</v>
      </c>
    </row>
    <row r="46" ht="22.5" customHeight="1">
      <c r="A46" s="3" t="s">
        <v>44</v>
      </c>
      <c r="B46" s="3" t="s">
        <v>61</v>
      </c>
      <c r="C46" s="3"/>
      <c r="D46" s="4">
        <v>90833.0</v>
      </c>
      <c r="E46" s="5">
        <v>45801.0</v>
      </c>
      <c r="F46" s="3" t="str">
        <f t="shared" si="1"/>
        <v>sábado</v>
      </c>
      <c r="G46" s="6">
        <f t="shared" si="2"/>
        <v>46146</v>
      </c>
      <c r="H46" s="6">
        <f>_xlfn.WORKDAY.INTL(E46-1, 1, 1, Tabela_1[Dias sem expediente])</f>
        <v>45803</v>
      </c>
      <c r="I46" s="7" t="str">
        <f t="shared" si="3"/>
        <v>segunda-feira</v>
      </c>
    </row>
    <row r="47" ht="22.5" customHeight="1">
      <c r="A47" s="3" t="s">
        <v>11</v>
      </c>
      <c r="B47" s="3" t="s">
        <v>62</v>
      </c>
      <c r="C47" s="3"/>
      <c r="D47" s="4">
        <v>97166.0</v>
      </c>
      <c r="E47" s="5">
        <v>45804.0</v>
      </c>
      <c r="F47" s="3" t="str">
        <f t="shared" si="1"/>
        <v>terça-feira</v>
      </c>
      <c r="G47" s="6">
        <f t="shared" si="2"/>
        <v>46149</v>
      </c>
      <c r="H47" s="6">
        <f>_xlfn.WORKDAY.INTL(E47-1, 1, 1, Tabela_1[Dias sem expediente])</f>
        <v>45804</v>
      </c>
      <c r="I47" s="7" t="str">
        <f t="shared" si="3"/>
        <v>terça-feira</v>
      </c>
    </row>
    <row r="48" ht="22.5" customHeight="1">
      <c r="A48" s="3" t="s">
        <v>14</v>
      </c>
      <c r="B48" s="3" t="s">
        <v>63</v>
      </c>
      <c r="C48" s="3"/>
      <c r="D48" s="4">
        <v>94925.0</v>
      </c>
      <c r="E48" s="5">
        <v>45808.0</v>
      </c>
      <c r="F48" s="3" t="str">
        <f t="shared" si="1"/>
        <v>sábado</v>
      </c>
      <c r="G48" s="6">
        <f t="shared" si="2"/>
        <v>46153</v>
      </c>
      <c r="H48" s="6">
        <f>_xlfn.WORKDAY.INTL(E48-1, 1, 1, Tabela_1[Dias sem expediente])</f>
        <v>45810</v>
      </c>
      <c r="I48" s="7" t="str">
        <f t="shared" si="3"/>
        <v>segunda-feira</v>
      </c>
    </row>
    <row r="49" ht="22.5" customHeight="1">
      <c r="A49" s="3" t="s">
        <v>11</v>
      </c>
      <c r="B49" s="3" t="s">
        <v>64</v>
      </c>
      <c r="C49" s="3"/>
      <c r="D49" s="4">
        <v>91855.0</v>
      </c>
      <c r="E49" s="5">
        <v>45815.0</v>
      </c>
      <c r="F49" s="3" t="str">
        <f t="shared" si="1"/>
        <v>sábado</v>
      </c>
      <c r="G49" s="6">
        <f t="shared" si="2"/>
        <v>46160</v>
      </c>
      <c r="H49" s="6">
        <f>_xlfn.WORKDAY.INTL(E49-1, 1, 1, Tabela_1[Dias sem expediente])</f>
        <v>45817</v>
      </c>
      <c r="I49" s="7" t="str">
        <f t="shared" si="3"/>
        <v>segunda-feira</v>
      </c>
    </row>
    <row r="50" ht="22.5" customHeight="1">
      <c r="A50" s="3" t="s">
        <v>11</v>
      </c>
      <c r="B50" s="3" t="s">
        <v>65</v>
      </c>
      <c r="C50" s="3"/>
      <c r="D50" s="4">
        <v>97179.0</v>
      </c>
      <c r="E50" s="5">
        <v>45817.0</v>
      </c>
      <c r="F50" s="3" t="str">
        <f t="shared" si="1"/>
        <v>segunda-feira</v>
      </c>
      <c r="G50" s="6">
        <f t="shared" si="2"/>
        <v>46162</v>
      </c>
      <c r="H50" s="6">
        <f>_xlfn.WORKDAY.INTL(E50-1, 1, 1, Tabela_1[Dias sem expediente])</f>
        <v>45817</v>
      </c>
      <c r="I50" s="7" t="str">
        <f t="shared" si="3"/>
        <v>segunda-feira</v>
      </c>
    </row>
    <row r="51" ht="22.5" customHeight="1">
      <c r="A51" s="3" t="s">
        <v>21</v>
      </c>
      <c r="B51" s="3" t="s">
        <v>66</v>
      </c>
      <c r="C51" s="3"/>
      <c r="D51" s="4">
        <v>85490.0</v>
      </c>
      <c r="E51" s="5">
        <v>45819.0</v>
      </c>
      <c r="F51" s="3" t="str">
        <f t="shared" si="1"/>
        <v>quarta-feira</v>
      </c>
      <c r="G51" s="6">
        <f t="shared" si="2"/>
        <v>46164</v>
      </c>
      <c r="H51" s="6">
        <f>_xlfn.WORKDAY.INTL(E51-1, 1, 1, Tabela_1[Dias sem expediente])</f>
        <v>45819</v>
      </c>
      <c r="I51" s="7" t="str">
        <f t="shared" si="3"/>
        <v>quarta-feira</v>
      </c>
    </row>
    <row r="52" ht="22.5" customHeight="1">
      <c r="A52" s="3" t="s">
        <v>11</v>
      </c>
      <c r="B52" s="3" t="s">
        <v>67</v>
      </c>
      <c r="C52" s="3"/>
      <c r="D52" s="4">
        <v>91620.0</v>
      </c>
      <c r="E52" s="5">
        <v>45823.0</v>
      </c>
      <c r="F52" s="3" t="str">
        <f t="shared" si="1"/>
        <v>domingo</v>
      </c>
      <c r="G52" s="6">
        <f t="shared" si="2"/>
        <v>46168</v>
      </c>
      <c r="H52" s="6">
        <f>_xlfn.WORKDAY.INTL(E52-1, 1, 1, Tabela_1[Dias sem expediente])</f>
        <v>45824</v>
      </c>
      <c r="I52" s="7" t="str">
        <f t="shared" si="3"/>
        <v>segunda-feira</v>
      </c>
    </row>
    <row r="53" ht="22.5" customHeight="1">
      <c r="A53" s="3" t="s">
        <v>14</v>
      </c>
      <c r="B53" s="3" t="s">
        <v>68</v>
      </c>
      <c r="C53" s="3"/>
      <c r="D53" s="4">
        <v>94719.0</v>
      </c>
      <c r="E53" s="5">
        <v>45826.0</v>
      </c>
      <c r="F53" s="3" t="str">
        <f t="shared" si="1"/>
        <v>quarta-feira</v>
      </c>
      <c r="G53" s="6">
        <f t="shared" si="2"/>
        <v>46171</v>
      </c>
      <c r="H53" s="6">
        <f>_xlfn.WORKDAY.INTL(E53-1, 1, 1, Tabela_1[Dias sem expediente])</f>
        <v>45826</v>
      </c>
      <c r="I53" s="7" t="str">
        <f t="shared" si="3"/>
        <v>quarta-feira</v>
      </c>
    </row>
    <row r="54" ht="22.5" customHeight="1">
      <c r="A54" s="3" t="s">
        <v>11</v>
      </c>
      <c r="B54" s="3" t="s">
        <v>69</v>
      </c>
      <c r="C54" s="3"/>
      <c r="D54" s="4">
        <v>79633.0</v>
      </c>
      <c r="E54" s="5">
        <v>45831.0</v>
      </c>
      <c r="F54" s="3" t="str">
        <f t="shared" si="1"/>
        <v>segunda-feira</v>
      </c>
      <c r="G54" s="6">
        <f t="shared" si="2"/>
        <v>46176</v>
      </c>
      <c r="H54" s="6">
        <f>_xlfn.WORKDAY.INTL(E54-1, 1, 1, Tabela_1[Dias sem expediente])</f>
        <v>45831</v>
      </c>
      <c r="I54" s="7" t="str">
        <f t="shared" si="3"/>
        <v>segunda-feira</v>
      </c>
    </row>
    <row r="55" ht="22.5" customHeight="1">
      <c r="A55" s="3" t="s">
        <v>14</v>
      </c>
      <c r="B55" s="3" t="s">
        <v>70</v>
      </c>
      <c r="C55" s="3"/>
      <c r="D55" s="4">
        <v>66164.0</v>
      </c>
      <c r="E55" s="5">
        <v>45831.0</v>
      </c>
      <c r="F55" s="3" t="str">
        <f t="shared" si="1"/>
        <v>segunda-feira</v>
      </c>
      <c r="G55" s="6">
        <f t="shared" si="2"/>
        <v>46176</v>
      </c>
      <c r="H55" s="6">
        <f>_xlfn.WORKDAY.INTL(E55-1, 1, 1, Tabela_1[Dias sem expediente])</f>
        <v>45831</v>
      </c>
      <c r="I55" s="7" t="str">
        <f t="shared" si="3"/>
        <v>segunda-feira</v>
      </c>
    </row>
    <row r="56" ht="22.5" customHeight="1">
      <c r="A56" s="3" t="s">
        <v>14</v>
      </c>
      <c r="B56" s="3" t="s">
        <v>71</v>
      </c>
      <c r="C56" s="3"/>
      <c r="D56" s="4">
        <v>78282.0</v>
      </c>
      <c r="E56" s="5">
        <v>45834.0</v>
      </c>
      <c r="F56" s="3" t="str">
        <f t="shared" si="1"/>
        <v>quinta-feira</v>
      </c>
      <c r="G56" s="6">
        <f t="shared" si="2"/>
        <v>46179</v>
      </c>
      <c r="H56" s="6">
        <f>_xlfn.WORKDAY.INTL(E56-1, 1, 1, Tabela_1[Dias sem expediente])</f>
        <v>45834</v>
      </c>
      <c r="I56" s="7" t="str">
        <f t="shared" si="3"/>
        <v>quinta-feira</v>
      </c>
    </row>
    <row r="57" ht="22.5" customHeight="1">
      <c r="A57" s="3" t="s">
        <v>11</v>
      </c>
      <c r="B57" s="3" t="s">
        <v>72</v>
      </c>
      <c r="C57" s="3"/>
      <c r="D57" s="4">
        <v>67020.0</v>
      </c>
      <c r="E57" s="5">
        <v>45836.0</v>
      </c>
      <c r="F57" s="3" t="str">
        <f t="shared" si="1"/>
        <v>sábado</v>
      </c>
      <c r="G57" s="6">
        <f t="shared" si="2"/>
        <v>46181</v>
      </c>
      <c r="H57" s="6">
        <f>_xlfn.WORKDAY.INTL(E57-1, 1, 1, Tabela_1[Dias sem expediente])</f>
        <v>45838</v>
      </c>
      <c r="I57" s="7" t="str">
        <f t="shared" si="3"/>
        <v>segunda-feira</v>
      </c>
    </row>
    <row r="58" ht="22.5" customHeight="1">
      <c r="A58" s="3" t="s">
        <v>14</v>
      </c>
      <c r="B58" s="3" t="s">
        <v>73</v>
      </c>
      <c r="C58" s="3"/>
      <c r="D58" s="4">
        <v>81177.0</v>
      </c>
      <c r="E58" s="5">
        <v>45836.0</v>
      </c>
      <c r="F58" s="3" t="str">
        <f t="shared" si="1"/>
        <v>sábado</v>
      </c>
      <c r="G58" s="6">
        <f t="shared" si="2"/>
        <v>46181</v>
      </c>
      <c r="H58" s="6">
        <f>_xlfn.WORKDAY.INTL(E58-1, 1, 1, Tabela_1[Dias sem expediente])</f>
        <v>45838</v>
      </c>
      <c r="I58" s="7" t="str">
        <f t="shared" si="3"/>
        <v>segunda-feira</v>
      </c>
    </row>
    <row r="59" ht="22.5" customHeight="1">
      <c r="A59" s="3" t="s">
        <v>11</v>
      </c>
      <c r="B59" s="3" t="s">
        <v>74</v>
      </c>
      <c r="C59" s="3"/>
      <c r="D59" s="4">
        <v>91912.0</v>
      </c>
      <c r="E59" s="5">
        <v>45837.0</v>
      </c>
      <c r="F59" s="3" t="str">
        <f t="shared" si="1"/>
        <v>domingo</v>
      </c>
      <c r="G59" s="6">
        <f t="shared" si="2"/>
        <v>46182</v>
      </c>
      <c r="H59" s="6">
        <f>_xlfn.WORKDAY.INTL(E59-1, 1, 1, Tabela_1[Dias sem expediente])</f>
        <v>45838</v>
      </c>
      <c r="I59" s="7" t="str">
        <f t="shared" si="3"/>
        <v>segunda-feira</v>
      </c>
    </row>
    <row r="60" ht="22.5" customHeight="1">
      <c r="A60" s="3" t="s">
        <v>21</v>
      </c>
      <c r="B60" s="3" t="s">
        <v>75</v>
      </c>
      <c r="C60" s="3"/>
      <c r="D60" s="4">
        <v>89916.0</v>
      </c>
      <c r="E60" s="5">
        <v>45837.0</v>
      </c>
      <c r="F60" s="3" t="str">
        <f t="shared" si="1"/>
        <v>domingo</v>
      </c>
      <c r="G60" s="6">
        <f t="shared" si="2"/>
        <v>46182</v>
      </c>
      <c r="H60" s="6">
        <f>_xlfn.WORKDAY.INTL(E60-1, 1, 1, Tabela_1[Dias sem expediente])</f>
        <v>45838</v>
      </c>
      <c r="I60" s="7" t="str">
        <f t="shared" si="3"/>
        <v>segunda-feira</v>
      </c>
    </row>
    <row r="61" ht="22.5" customHeight="1">
      <c r="A61" s="3" t="s">
        <v>11</v>
      </c>
      <c r="B61" s="3" t="s">
        <v>76</v>
      </c>
      <c r="C61" s="3"/>
      <c r="D61" s="4">
        <v>90089.0</v>
      </c>
      <c r="E61" s="5">
        <v>45842.0</v>
      </c>
      <c r="F61" s="3" t="str">
        <f t="shared" si="1"/>
        <v>sexta-feira</v>
      </c>
      <c r="G61" s="6">
        <f t="shared" si="2"/>
        <v>46187</v>
      </c>
      <c r="H61" s="6">
        <f>_xlfn.WORKDAY.INTL(E61-1, 1, 1, Tabela_1[Dias sem expediente])</f>
        <v>45842</v>
      </c>
      <c r="I61" s="7" t="str">
        <f t="shared" si="3"/>
        <v>sexta-feira</v>
      </c>
    </row>
    <row r="62" ht="22.5" customHeight="1">
      <c r="A62" s="3" t="s">
        <v>14</v>
      </c>
      <c r="B62" s="3" t="s">
        <v>77</v>
      </c>
      <c r="C62" s="3"/>
      <c r="D62" s="4">
        <v>93347.0</v>
      </c>
      <c r="E62" s="5">
        <v>45844.0</v>
      </c>
      <c r="F62" s="3" t="str">
        <f t="shared" si="1"/>
        <v>domingo</v>
      </c>
      <c r="G62" s="6">
        <f t="shared" si="2"/>
        <v>46189</v>
      </c>
      <c r="H62" s="6">
        <f>_xlfn.WORKDAY.INTL(E62-1, 1, 1, Tabela_1[Dias sem expediente])</f>
        <v>45845</v>
      </c>
      <c r="I62" s="7" t="str">
        <f t="shared" si="3"/>
        <v>segunda-feira</v>
      </c>
    </row>
    <row r="63" ht="22.5" customHeight="1">
      <c r="A63" s="3" t="s">
        <v>14</v>
      </c>
      <c r="B63" s="3" t="s">
        <v>78</v>
      </c>
      <c r="C63" s="3"/>
      <c r="D63" s="4">
        <v>2983.0</v>
      </c>
      <c r="E63" s="5">
        <v>45845.0</v>
      </c>
      <c r="F63" s="3" t="str">
        <f t="shared" si="1"/>
        <v>segunda-feira</v>
      </c>
      <c r="G63" s="6">
        <f t="shared" si="2"/>
        <v>46190</v>
      </c>
      <c r="H63" s="6">
        <f>_xlfn.WORKDAY.INTL(E63-1, 1, 1, Tabela_1[Dias sem expediente])</f>
        <v>45845</v>
      </c>
      <c r="I63" s="7" t="str">
        <f t="shared" si="3"/>
        <v>segunda-feira</v>
      </c>
    </row>
    <row r="64" ht="22.5" customHeight="1">
      <c r="A64" s="3" t="s">
        <v>11</v>
      </c>
      <c r="B64" s="3" t="s">
        <v>79</v>
      </c>
      <c r="C64" s="3"/>
      <c r="D64" s="4">
        <v>82941.0</v>
      </c>
      <c r="E64" s="5">
        <v>45848.0</v>
      </c>
      <c r="F64" s="3" t="str">
        <f t="shared" si="1"/>
        <v>quinta-feira</v>
      </c>
      <c r="G64" s="6">
        <f t="shared" si="2"/>
        <v>46193</v>
      </c>
      <c r="H64" s="6">
        <f>_xlfn.WORKDAY.INTL(E64-1, 1, 1, Tabela_1[Dias sem expediente])</f>
        <v>45848</v>
      </c>
      <c r="I64" s="7" t="str">
        <f t="shared" si="3"/>
        <v>quinta-feira</v>
      </c>
    </row>
    <row r="65" ht="22.5" customHeight="1">
      <c r="A65" s="3" t="s">
        <v>14</v>
      </c>
      <c r="B65" s="3" t="s">
        <v>80</v>
      </c>
      <c r="C65" s="3"/>
      <c r="D65" s="4">
        <v>8935.0</v>
      </c>
      <c r="E65" s="5">
        <v>45858.0</v>
      </c>
      <c r="F65" s="3" t="str">
        <f t="shared" si="1"/>
        <v>domingo</v>
      </c>
      <c r="G65" s="6">
        <f t="shared" si="2"/>
        <v>46203</v>
      </c>
      <c r="H65" s="6">
        <f>_xlfn.WORKDAY.INTL(E65-1, 1, 1, Tabela_1[Dias sem expediente])</f>
        <v>45859</v>
      </c>
      <c r="I65" s="7" t="str">
        <f t="shared" si="3"/>
        <v>segunda-feira</v>
      </c>
    </row>
    <row r="66" ht="22.5" customHeight="1">
      <c r="A66" s="3" t="s">
        <v>44</v>
      </c>
      <c r="B66" s="3" t="s">
        <v>81</v>
      </c>
      <c r="C66" s="3"/>
      <c r="D66" s="4">
        <v>81908.0</v>
      </c>
      <c r="E66" s="5">
        <v>45861.0</v>
      </c>
      <c r="F66" s="3" t="str">
        <f t="shared" si="1"/>
        <v>quarta-feira</v>
      </c>
      <c r="G66" s="6">
        <f t="shared" si="2"/>
        <v>46206</v>
      </c>
      <c r="H66" s="6">
        <f>_xlfn.WORKDAY.INTL(E66-1, 1, 1, Tabela_1[Dias sem expediente])</f>
        <v>45861</v>
      </c>
      <c r="I66" s="7" t="str">
        <f t="shared" si="3"/>
        <v>quarta-feira</v>
      </c>
    </row>
    <row r="67" ht="22.5" customHeight="1">
      <c r="A67" s="3" t="s">
        <v>44</v>
      </c>
      <c r="B67" s="3" t="s">
        <v>82</v>
      </c>
      <c r="C67" s="3"/>
      <c r="D67" s="4">
        <v>96667.0</v>
      </c>
      <c r="E67" s="5">
        <v>45863.0</v>
      </c>
      <c r="F67" s="3" t="str">
        <f t="shared" si="1"/>
        <v>sexta-feira</v>
      </c>
      <c r="G67" s="6">
        <f t="shared" si="2"/>
        <v>46208</v>
      </c>
      <c r="H67" s="6">
        <f>_xlfn.WORKDAY.INTL(E67-1, 1, 1, Tabela_1[Dias sem expediente])</f>
        <v>45863</v>
      </c>
      <c r="I67" s="7" t="str">
        <f t="shared" si="3"/>
        <v>sexta-feira</v>
      </c>
    </row>
    <row r="68" ht="22.5" customHeight="1">
      <c r="A68" s="3" t="s">
        <v>21</v>
      </c>
      <c r="B68" s="3" t="s">
        <v>83</v>
      </c>
      <c r="C68" s="3"/>
      <c r="D68" s="4">
        <v>93839.0</v>
      </c>
      <c r="E68" s="5">
        <v>45863.0</v>
      </c>
      <c r="F68" s="3" t="str">
        <f t="shared" si="1"/>
        <v>sexta-feira</v>
      </c>
      <c r="G68" s="6">
        <f t="shared" si="2"/>
        <v>46208</v>
      </c>
      <c r="H68" s="6">
        <f>_xlfn.WORKDAY.INTL(E68-1, 1, 1, Tabela_1[Dias sem expediente])</f>
        <v>45863</v>
      </c>
      <c r="I68" s="7" t="str">
        <f t="shared" si="3"/>
        <v>sexta-feira</v>
      </c>
    </row>
    <row r="69" ht="22.5" customHeight="1">
      <c r="A69" s="3" t="s">
        <v>11</v>
      </c>
      <c r="B69" s="3" t="s">
        <v>84</v>
      </c>
      <c r="C69" s="3"/>
      <c r="D69" s="4">
        <v>90090.0</v>
      </c>
      <c r="E69" s="5">
        <v>45876.0</v>
      </c>
      <c r="F69" s="3" t="str">
        <f t="shared" si="1"/>
        <v>quinta-feira</v>
      </c>
      <c r="G69" s="6">
        <f t="shared" si="2"/>
        <v>46221</v>
      </c>
      <c r="H69" s="6">
        <f>_xlfn.WORKDAY.INTL(E69-1, 1, 1, Tabela_1[Dias sem expediente])</f>
        <v>45876</v>
      </c>
      <c r="I69" s="7" t="str">
        <f t="shared" si="3"/>
        <v>quinta-feira</v>
      </c>
    </row>
    <row r="70" ht="22.5" customHeight="1">
      <c r="A70" s="3" t="s">
        <v>44</v>
      </c>
      <c r="B70" s="3" t="s">
        <v>85</v>
      </c>
      <c r="C70" s="3"/>
      <c r="D70" s="4">
        <v>96682.0</v>
      </c>
      <c r="E70" s="5">
        <v>45877.0</v>
      </c>
      <c r="F70" s="3" t="str">
        <f t="shared" si="1"/>
        <v>sexta-feira</v>
      </c>
      <c r="G70" s="6">
        <f t="shared" si="2"/>
        <v>46222</v>
      </c>
      <c r="H70" s="6">
        <f>_xlfn.WORKDAY.INTL(E70-1, 1, 1, Tabela_1[Dias sem expediente])</f>
        <v>45877</v>
      </c>
      <c r="I70" s="7" t="str">
        <f t="shared" si="3"/>
        <v>sexta-feira</v>
      </c>
    </row>
    <row r="71" ht="22.5" customHeight="1">
      <c r="A71" s="3" t="s">
        <v>21</v>
      </c>
      <c r="B71" s="3" t="s">
        <v>86</v>
      </c>
      <c r="C71" s="3"/>
      <c r="D71" s="4">
        <v>72265.0</v>
      </c>
      <c r="E71" s="5">
        <v>45879.0</v>
      </c>
      <c r="F71" s="3" t="str">
        <f t="shared" si="1"/>
        <v>domingo</v>
      </c>
      <c r="G71" s="6">
        <f t="shared" si="2"/>
        <v>46224</v>
      </c>
      <c r="H71" s="6">
        <f>_xlfn.WORKDAY.INTL(E71-1, 1, 1, Tabela_1[Dias sem expediente])</f>
        <v>45880</v>
      </c>
      <c r="I71" s="7" t="str">
        <f t="shared" si="3"/>
        <v>segunda-feira</v>
      </c>
    </row>
    <row r="72" ht="22.5" customHeight="1">
      <c r="A72" s="3" t="s">
        <v>14</v>
      </c>
      <c r="B72" s="3" t="s">
        <v>87</v>
      </c>
      <c r="C72" s="3"/>
      <c r="D72" s="4">
        <v>97413.0</v>
      </c>
      <c r="E72" s="5">
        <v>45884.0</v>
      </c>
      <c r="F72" s="3" t="str">
        <f t="shared" si="1"/>
        <v>sexta-feira</v>
      </c>
      <c r="G72" s="6">
        <f t="shared" si="2"/>
        <v>46229</v>
      </c>
      <c r="H72" s="6">
        <f>_xlfn.WORKDAY.INTL(E72-1, 1, 1, Tabela_1[Dias sem expediente])</f>
        <v>45884</v>
      </c>
      <c r="I72" s="7" t="str">
        <f t="shared" si="3"/>
        <v>sexta-feira</v>
      </c>
    </row>
    <row r="73" ht="22.5" customHeight="1">
      <c r="A73" s="3" t="s">
        <v>36</v>
      </c>
      <c r="B73" s="3" t="s">
        <v>88</v>
      </c>
      <c r="C73" s="3" t="s">
        <v>89</v>
      </c>
      <c r="D73" s="4">
        <v>97353.0</v>
      </c>
      <c r="E73" s="5">
        <v>45898.0</v>
      </c>
      <c r="F73" s="3" t="str">
        <f t="shared" si="1"/>
        <v>sexta-feira</v>
      </c>
      <c r="G73" s="6">
        <f t="shared" si="2"/>
        <v>46243</v>
      </c>
      <c r="H73" s="6">
        <f>_xlfn.WORKDAY.INTL(E73-1, 1, 1, Tabela_1[Dias sem expediente])</f>
        <v>45898</v>
      </c>
      <c r="I73" s="7" t="str">
        <f t="shared" si="3"/>
        <v>sexta-feira</v>
      </c>
    </row>
    <row r="74" ht="22.5" customHeight="1">
      <c r="A74" s="3" t="s">
        <v>11</v>
      </c>
      <c r="B74" s="3" t="s">
        <v>90</v>
      </c>
      <c r="C74" s="3"/>
      <c r="D74" s="4">
        <v>44242.0</v>
      </c>
      <c r="E74" s="5">
        <v>45900.0</v>
      </c>
      <c r="F74" s="3" t="str">
        <f t="shared" si="1"/>
        <v>domingo</v>
      </c>
      <c r="G74" s="6">
        <f t="shared" si="2"/>
        <v>46245</v>
      </c>
      <c r="H74" s="6">
        <f>_xlfn.WORKDAY.INTL(E74-1, 1, 1, Tabela_1[Dias sem expediente])</f>
        <v>45901</v>
      </c>
      <c r="I74" s="7" t="str">
        <f t="shared" si="3"/>
        <v>segunda-feira</v>
      </c>
    </row>
    <row r="75" ht="22.5" customHeight="1">
      <c r="A75" s="3" t="s">
        <v>14</v>
      </c>
      <c r="B75" s="3" t="s">
        <v>91</v>
      </c>
      <c r="C75" s="3"/>
      <c r="D75" s="4">
        <v>68150.0</v>
      </c>
      <c r="E75" s="5">
        <v>45905.0</v>
      </c>
      <c r="F75" s="3" t="str">
        <f t="shared" si="1"/>
        <v>sexta-feira</v>
      </c>
      <c r="G75" s="6">
        <f t="shared" si="2"/>
        <v>46250</v>
      </c>
      <c r="H75" s="6">
        <f>_xlfn.WORKDAY.INTL(E75-1, 1, 1, Tabela_1[Dias sem expediente])</f>
        <v>45905</v>
      </c>
      <c r="I75" s="7" t="str">
        <f t="shared" si="3"/>
        <v>sexta-feira</v>
      </c>
    </row>
    <row r="76" ht="22.5" customHeight="1">
      <c r="A76" s="3" t="s">
        <v>14</v>
      </c>
      <c r="B76" s="3" t="s">
        <v>92</v>
      </c>
      <c r="C76" s="3"/>
      <c r="D76" s="4">
        <v>68358.0</v>
      </c>
      <c r="E76" s="5">
        <v>45910.0</v>
      </c>
      <c r="F76" s="3" t="str">
        <f t="shared" si="1"/>
        <v>quarta-feira</v>
      </c>
      <c r="G76" s="6">
        <f t="shared" si="2"/>
        <v>46255</v>
      </c>
      <c r="H76" s="6">
        <f>_xlfn.WORKDAY.INTL(E76-1, 1, 1, Tabela_1[Dias sem expediente])</f>
        <v>45910</v>
      </c>
      <c r="I76" s="7" t="str">
        <f t="shared" si="3"/>
        <v>quarta-feira</v>
      </c>
    </row>
    <row r="77" ht="22.5" customHeight="1">
      <c r="A77" s="3" t="s">
        <v>14</v>
      </c>
      <c r="B77" s="3" t="s">
        <v>93</v>
      </c>
      <c r="C77" s="3"/>
      <c r="D77" s="4">
        <v>45195.0</v>
      </c>
      <c r="E77" s="5">
        <v>45914.0</v>
      </c>
      <c r="F77" s="3" t="str">
        <f t="shared" si="1"/>
        <v>domingo</v>
      </c>
      <c r="G77" s="6">
        <f t="shared" si="2"/>
        <v>46259</v>
      </c>
      <c r="H77" s="6">
        <f>_xlfn.WORKDAY.INTL(E77-1, 1, 1, Tabela_1[Dias sem expediente])</f>
        <v>45915</v>
      </c>
      <c r="I77" s="7" t="str">
        <f t="shared" si="3"/>
        <v>segunda-feira</v>
      </c>
    </row>
    <row r="78" ht="22.5" customHeight="1">
      <c r="A78" s="3" t="s">
        <v>11</v>
      </c>
      <c r="B78" s="3" t="s">
        <v>94</v>
      </c>
      <c r="C78" s="3"/>
      <c r="D78" s="4">
        <v>84831.0</v>
      </c>
      <c r="E78" s="5">
        <v>45916.0</v>
      </c>
      <c r="F78" s="3" t="str">
        <f t="shared" si="1"/>
        <v>terça-feira</v>
      </c>
      <c r="G78" s="6">
        <f t="shared" si="2"/>
        <v>46261</v>
      </c>
      <c r="H78" s="6">
        <f>_xlfn.WORKDAY.INTL(E78-1, 1, 1, Tabela_1[Dias sem expediente])</f>
        <v>45916</v>
      </c>
      <c r="I78" s="7" t="str">
        <f t="shared" si="3"/>
        <v>terça-feira</v>
      </c>
    </row>
    <row r="79" ht="22.5" customHeight="1">
      <c r="A79" s="3" t="s">
        <v>21</v>
      </c>
      <c r="B79" s="3" t="s">
        <v>95</v>
      </c>
      <c r="C79" s="3"/>
      <c r="D79" s="4">
        <v>52301.0</v>
      </c>
      <c r="E79" s="5">
        <v>45916.0</v>
      </c>
      <c r="F79" s="3" t="str">
        <f t="shared" si="1"/>
        <v>terça-feira</v>
      </c>
      <c r="G79" s="6">
        <f t="shared" si="2"/>
        <v>46261</v>
      </c>
      <c r="H79" s="6">
        <f>_xlfn.WORKDAY.INTL(E79-1, 1, 1, Tabela_1[Dias sem expediente])</f>
        <v>45916</v>
      </c>
      <c r="I79" s="7" t="str">
        <f t="shared" si="3"/>
        <v>terça-feira</v>
      </c>
    </row>
    <row r="80" ht="22.5" customHeight="1">
      <c r="A80" s="3" t="s">
        <v>21</v>
      </c>
      <c r="B80" s="3" t="s">
        <v>96</v>
      </c>
      <c r="C80" s="3"/>
      <c r="D80" s="4">
        <v>51534.0</v>
      </c>
      <c r="E80" s="5">
        <v>45916.0</v>
      </c>
      <c r="F80" s="3" t="str">
        <f t="shared" si="1"/>
        <v>terça-feira</v>
      </c>
      <c r="G80" s="6">
        <f t="shared" si="2"/>
        <v>46261</v>
      </c>
      <c r="H80" s="6">
        <f>_xlfn.WORKDAY.INTL(E80-1, 1, 1, Tabela_1[Dias sem expediente])</f>
        <v>45916</v>
      </c>
      <c r="I80" s="7" t="str">
        <f t="shared" si="3"/>
        <v>terça-feira</v>
      </c>
    </row>
    <row r="81" ht="22.5" customHeight="1">
      <c r="A81" s="3" t="s">
        <v>14</v>
      </c>
      <c r="B81" s="3" t="s">
        <v>97</v>
      </c>
      <c r="C81" s="3"/>
      <c r="D81" s="4">
        <v>81206.0</v>
      </c>
      <c r="E81" s="5">
        <v>45916.0</v>
      </c>
      <c r="F81" s="3" t="str">
        <f t="shared" si="1"/>
        <v>terça-feira</v>
      </c>
      <c r="G81" s="6">
        <f t="shared" si="2"/>
        <v>46261</v>
      </c>
      <c r="H81" s="6">
        <f>_xlfn.WORKDAY.INTL(E81-1, 1, 1, Tabela_1[Dias sem expediente])</f>
        <v>45916</v>
      </c>
      <c r="I81" s="7" t="str">
        <f t="shared" si="3"/>
        <v>terça-feira</v>
      </c>
    </row>
    <row r="82" ht="22.5" customHeight="1">
      <c r="A82" s="3" t="s">
        <v>21</v>
      </c>
      <c r="B82" s="3" t="s">
        <v>98</v>
      </c>
      <c r="C82" s="3"/>
      <c r="D82" s="4">
        <v>85183.0</v>
      </c>
      <c r="E82" s="5">
        <v>45917.0</v>
      </c>
      <c r="F82" s="3" t="str">
        <f t="shared" si="1"/>
        <v>quarta-feira</v>
      </c>
      <c r="G82" s="6">
        <f t="shared" si="2"/>
        <v>46262</v>
      </c>
      <c r="H82" s="6">
        <f>_xlfn.WORKDAY.INTL(E82-1, 1, 1, Tabela_1[Dias sem expediente])</f>
        <v>45917</v>
      </c>
      <c r="I82" s="7" t="str">
        <f t="shared" si="3"/>
        <v>quarta-feira</v>
      </c>
    </row>
    <row r="83" ht="22.5" customHeight="1">
      <c r="A83" s="3" t="s">
        <v>14</v>
      </c>
      <c r="B83" s="3" t="s">
        <v>99</v>
      </c>
      <c r="C83" s="3"/>
      <c r="D83" s="4">
        <v>68157.0</v>
      </c>
      <c r="E83" s="5">
        <v>45921.0</v>
      </c>
      <c r="F83" s="3" t="str">
        <f t="shared" si="1"/>
        <v>domingo</v>
      </c>
      <c r="G83" s="6">
        <f t="shared" si="2"/>
        <v>46266</v>
      </c>
      <c r="H83" s="6">
        <f>_xlfn.WORKDAY.INTL(E83-1, 1, 1, Tabela_1[Dias sem expediente])</f>
        <v>45922</v>
      </c>
      <c r="I83" s="7" t="str">
        <f t="shared" si="3"/>
        <v>segunda-feira</v>
      </c>
    </row>
    <row r="84" ht="22.5" customHeight="1">
      <c r="A84" s="3" t="s">
        <v>11</v>
      </c>
      <c r="B84" s="3" t="s">
        <v>100</v>
      </c>
      <c r="C84" s="3"/>
      <c r="D84" s="4">
        <v>96410.0</v>
      </c>
      <c r="E84" s="5">
        <v>45922.0</v>
      </c>
      <c r="F84" s="3" t="str">
        <f t="shared" si="1"/>
        <v>segunda-feira</v>
      </c>
      <c r="G84" s="6">
        <f t="shared" si="2"/>
        <v>46267</v>
      </c>
      <c r="H84" s="6">
        <f>_xlfn.WORKDAY.INTL(E84-1, 1, 1, Tabela_1[Dias sem expediente])</f>
        <v>45922</v>
      </c>
      <c r="I84" s="7" t="str">
        <f t="shared" si="3"/>
        <v>segunda-feira</v>
      </c>
    </row>
    <row r="85" ht="22.5" customHeight="1">
      <c r="A85" s="3" t="s">
        <v>11</v>
      </c>
      <c r="B85" s="3" t="s">
        <v>101</v>
      </c>
      <c r="C85" s="3"/>
      <c r="D85" s="4">
        <v>91912.0</v>
      </c>
      <c r="E85" s="5">
        <v>45926.0</v>
      </c>
      <c r="F85" s="3" t="str">
        <f t="shared" si="1"/>
        <v>sexta-feira</v>
      </c>
      <c r="G85" s="6">
        <f t="shared" si="2"/>
        <v>46271</v>
      </c>
      <c r="H85" s="6">
        <f>_xlfn.WORKDAY.INTL(E85-1, 1, 1, Tabela_1[Dias sem expediente])</f>
        <v>45926</v>
      </c>
      <c r="I85" s="7" t="str">
        <f t="shared" si="3"/>
        <v>sexta-feira</v>
      </c>
    </row>
    <row r="86" ht="22.5" customHeight="1">
      <c r="A86" s="3" t="s">
        <v>11</v>
      </c>
      <c r="B86" s="3" t="s">
        <v>102</v>
      </c>
      <c r="C86" s="3"/>
      <c r="D86" s="4">
        <v>34209.0</v>
      </c>
      <c r="E86" s="5">
        <v>45929.0</v>
      </c>
      <c r="F86" s="3" t="str">
        <f t="shared" si="1"/>
        <v>segunda-feira</v>
      </c>
      <c r="G86" s="6">
        <f t="shared" si="2"/>
        <v>46274</v>
      </c>
      <c r="H86" s="6">
        <f>_xlfn.WORKDAY.INTL(E86-1, 1, 1, Tabela_1[Dias sem expediente])</f>
        <v>45929</v>
      </c>
      <c r="I86" s="7" t="str">
        <f t="shared" si="3"/>
        <v>segunda-feira</v>
      </c>
    </row>
    <row r="87" ht="22.5" customHeight="1">
      <c r="A87" s="3" t="s">
        <v>14</v>
      </c>
      <c r="B87" s="3" t="s">
        <v>103</v>
      </c>
      <c r="C87" s="3"/>
      <c r="D87" s="4">
        <v>68155.0</v>
      </c>
      <c r="E87" s="5">
        <v>45929.0</v>
      </c>
      <c r="F87" s="3" t="str">
        <f t="shared" si="1"/>
        <v>segunda-feira</v>
      </c>
      <c r="G87" s="6">
        <f t="shared" si="2"/>
        <v>46274</v>
      </c>
      <c r="H87" s="6">
        <f>_xlfn.WORKDAY.INTL(E87-1, 1, 1, Tabela_1[Dias sem expediente])</f>
        <v>45929</v>
      </c>
      <c r="I87" s="7" t="str">
        <f t="shared" si="3"/>
        <v>segunda-feira</v>
      </c>
    </row>
    <row r="88" ht="22.5" customHeight="1">
      <c r="A88" s="3" t="s">
        <v>14</v>
      </c>
      <c r="B88" s="3" t="s">
        <v>104</v>
      </c>
      <c r="C88" s="3"/>
      <c r="D88" s="4">
        <v>93342.0</v>
      </c>
      <c r="E88" s="5">
        <v>45929.0</v>
      </c>
      <c r="F88" s="3" t="str">
        <f t="shared" si="1"/>
        <v>segunda-feira</v>
      </c>
      <c r="G88" s="6">
        <f t="shared" si="2"/>
        <v>46274</v>
      </c>
      <c r="H88" s="6">
        <f>_xlfn.WORKDAY.INTL(E88-1, 1, 1, Tabela_1[Dias sem expediente])</f>
        <v>45929</v>
      </c>
      <c r="I88" s="7" t="str">
        <f t="shared" si="3"/>
        <v>segunda-feira</v>
      </c>
    </row>
    <row r="89" ht="22.5" customHeight="1">
      <c r="A89" s="3" t="s">
        <v>44</v>
      </c>
      <c r="B89" s="3" t="s">
        <v>105</v>
      </c>
      <c r="C89" s="3"/>
      <c r="D89" s="4">
        <v>96661.0</v>
      </c>
      <c r="E89" s="5">
        <v>45934.0</v>
      </c>
      <c r="F89" s="3" t="str">
        <f t="shared" si="1"/>
        <v>sábado</v>
      </c>
      <c r="G89" s="6">
        <f t="shared" si="2"/>
        <v>46279</v>
      </c>
      <c r="H89" s="6">
        <f>_xlfn.WORKDAY.INTL(E89-1, 1, 1, Tabela_1[Dias sem expediente])</f>
        <v>45936</v>
      </c>
      <c r="I89" s="7" t="str">
        <f t="shared" si="3"/>
        <v>segunda-feira</v>
      </c>
    </row>
    <row r="90" ht="22.5" customHeight="1">
      <c r="A90" s="3" t="s">
        <v>11</v>
      </c>
      <c r="B90" s="3" t="s">
        <v>106</v>
      </c>
      <c r="C90" s="3"/>
      <c r="D90" s="4">
        <v>84166.0</v>
      </c>
      <c r="E90" s="5">
        <v>45946.0</v>
      </c>
      <c r="F90" s="3" t="str">
        <f t="shared" si="1"/>
        <v>quinta-feira</v>
      </c>
      <c r="G90" s="6">
        <f t="shared" si="2"/>
        <v>46291</v>
      </c>
      <c r="H90" s="6">
        <f>_xlfn.WORKDAY.INTL(E90-1, 1, 1, Tabela_1[Dias sem expediente])</f>
        <v>45946</v>
      </c>
      <c r="I90" s="7" t="str">
        <f t="shared" si="3"/>
        <v>quinta-feira</v>
      </c>
    </row>
    <row r="91" ht="22.5" customHeight="1">
      <c r="A91" s="3" t="s">
        <v>21</v>
      </c>
      <c r="B91" s="3" t="s">
        <v>107</v>
      </c>
      <c r="C91" s="3"/>
      <c r="D91" s="4">
        <v>96954.0</v>
      </c>
      <c r="E91" s="5">
        <v>45946.0</v>
      </c>
      <c r="F91" s="3" t="str">
        <f t="shared" si="1"/>
        <v>quinta-feira</v>
      </c>
      <c r="G91" s="6">
        <f t="shared" si="2"/>
        <v>46291</v>
      </c>
      <c r="H91" s="6">
        <f>_xlfn.WORKDAY.INTL(E91-1, 1, 1, Tabela_1[Dias sem expediente])</f>
        <v>45946</v>
      </c>
      <c r="I91" s="7" t="str">
        <f t="shared" si="3"/>
        <v>quinta-feira</v>
      </c>
    </row>
    <row r="92" ht="22.5" customHeight="1">
      <c r="A92" s="3" t="s">
        <v>44</v>
      </c>
      <c r="B92" s="3" t="s">
        <v>108</v>
      </c>
      <c r="C92" s="3"/>
      <c r="D92" s="4">
        <v>95397.0</v>
      </c>
      <c r="E92" s="5">
        <v>45950.0</v>
      </c>
      <c r="F92" s="3" t="str">
        <f t="shared" si="1"/>
        <v>segunda-feira</v>
      </c>
      <c r="G92" s="6">
        <f t="shared" si="2"/>
        <v>46295</v>
      </c>
      <c r="H92" s="6">
        <f>_xlfn.WORKDAY.INTL(E92-1, 1, 1, Tabela_1[Dias sem expediente])</f>
        <v>45950</v>
      </c>
      <c r="I92" s="7" t="str">
        <f t="shared" si="3"/>
        <v>segunda-feira</v>
      </c>
    </row>
    <row r="93" ht="22.5" customHeight="1">
      <c r="A93" s="3" t="s">
        <v>21</v>
      </c>
      <c r="B93" s="3" t="s">
        <v>109</v>
      </c>
      <c r="C93" s="3"/>
      <c r="D93" s="4">
        <v>83035.0</v>
      </c>
      <c r="E93" s="5">
        <v>45951.0</v>
      </c>
      <c r="F93" s="3" t="str">
        <f t="shared" si="1"/>
        <v>terça-feira</v>
      </c>
      <c r="G93" s="6">
        <f t="shared" si="2"/>
        <v>46296</v>
      </c>
      <c r="H93" s="6">
        <f>_xlfn.WORKDAY.INTL(E93-1, 1, 1, Tabela_1[Dias sem expediente])</f>
        <v>45951</v>
      </c>
      <c r="I93" s="7" t="str">
        <f t="shared" si="3"/>
        <v>terça-feira</v>
      </c>
    </row>
    <row r="94" ht="22.5" customHeight="1">
      <c r="A94" s="3" t="s">
        <v>14</v>
      </c>
      <c r="B94" s="3" t="s">
        <v>110</v>
      </c>
      <c r="C94" s="3"/>
      <c r="D94" s="4">
        <v>93140.0</v>
      </c>
      <c r="E94" s="5">
        <v>45953.0</v>
      </c>
      <c r="F94" s="3" t="str">
        <f t="shared" si="1"/>
        <v>quinta-feira</v>
      </c>
      <c r="G94" s="6">
        <f t="shared" si="2"/>
        <v>46298</v>
      </c>
      <c r="H94" s="6">
        <f>_xlfn.WORKDAY.INTL(E94-1, 1, 1, Tabela_1[Dias sem expediente])</f>
        <v>45953</v>
      </c>
      <c r="I94" s="7" t="str">
        <f t="shared" si="3"/>
        <v>quinta-feira</v>
      </c>
    </row>
    <row r="95" ht="22.5" customHeight="1">
      <c r="A95" s="3" t="s">
        <v>21</v>
      </c>
      <c r="B95" s="3" t="s">
        <v>111</v>
      </c>
      <c r="C95" s="3"/>
      <c r="D95" s="4">
        <v>86844.0</v>
      </c>
      <c r="E95" s="5">
        <v>45954.0</v>
      </c>
      <c r="F95" s="3" t="str">
        <f t="shared" si="1"/>
        <v>sexta-feira</v>
      </c>
      <c r="G95" s="6">
        <f t="shared" si="2"/>
        <v>46299</v>
      </c>
      <c r="H95" s="6">
        <f>_xlfn.WORKDAY.INTL(E95-1, 1, 1, Tabela_1[Dias sem expediente])</f>
        <v>45954</v>
      </c>
      <c r="I95" s="7" t="str">
        <f t="shared" si="3"/>
        <v>sexta-feira</v>
      </c>
    </row>
    <row r="96" ht="22.5" customHeight="1">
      <c r="A96" s="3" t="s">
        <v>14</v>
      </c>
      <c r="B96" s="3" t="s">
        <v>112</v>
      </c>
      <c r="C96" s="3"/>
      <c r="D96" s="4">
        <v>68159.0</v>
      </c>
      <c r="E96" s="5">
        <v>45954.0</v>
      </c>
      <c r="F96" s="3" t="str">
        <f t="shared" si="1"/>
        <v>sexta-feira</v>
      </c>
      <c r="G96" s="6">
        <f t="shared" si="2"/>
        <v>46299</v>
      </c>
      <c r="H96" s="6">
        <f>_xlfn.WORKDAY.INTL(E96-1, 1, 1, Tabela_1[Dias sem expediente])</f>
        <v>45954</v>
      </c>
      <c r="I96" s="7" t="str">
        <f t="shared" si="3"/>
        <v>sexta-feira</v>
      </c>
    </row>
    <row r="97" ht="22.5" customHeight="1">
      <c r="A97" s="3" t="s">
        <v>14</v>
      </c>
      <c r="B97" s="3" t="s">
        <v>113</v>
      </c>
      <c r="C97" s="3"/>
      <c r="D97" s="4">
        <v>93706.0</v>
      </c>
      <c r="E97" s="5">
        <v>45956.0</v>
      </c>
      <c r="F97" s="3" t="str">
        <f t="shared" si="1"/>
        <v>domingo</v>
      </c>
      <c r="G97" s="6">
        <f t="shared" si="2"/>
        <v>46301</v>
      </c>
      <c r="H97" s="6">
        <f>_xlfn.WORKDAY.INTL(E97-1, 1, 1, Tabela_1[Dias sem expediente])</f>
        <v>45957</v>
      </c>
      <c r="I97" s="7" t="str">
        <f t="shared" si="3"/>
        <v>segunda-feira</v>
      </c>
    </row>
    <row r="98" ht="22.5" customHeight="1">
      <c r="A98" s="3" t="s">
        <v>11</v>
      </c>
      <c r="B98" s="3" t="s">
        <v>114</v>
      </c>
      <c r="C98" s="3"/>
      <c r="D98" s="4">
        <v>51581.0</v>
      </c>
      <c r="E98" s="5">
        <v>45958.0</v>
      </c>
      <c r="F98" s="3" t="str">
        <f t="shared" si="1"/>
        <v>terça-feira</v>
      </c>
      <c r="G98" s="6">
        <f t="shared" si="2"/>
        <v>46303</v>
      </c>
      <c r="H98" s="6">
        <f>_xlfn.WORKDAY.INTL(E98-1, 1, 1, Tabela_1[Dias sem expediente])</f>
        <v>45958</v>
      </c>
      <c r="I98" s="7" t="str">
        <f t="shared" si="3"/>
        <v>terça-feira</v>
      </c>
    </row>
    <row r="99" ht="22.5" customHeight="1">
      <c r="A99" s="3" t="s">
        <v>14</v>
      </c>
      <c r="B99" s="3" t="s">
        <v>115</v>
      </c>
      <c r="C99" s="3"/>
      <c r="D99" s="4">
        <v>90615.0</v>
      </c>
      <c r="E99" s="5">
        <v>45970.0</v>
      </c>
      <c r="F99" s="3" t="str">
        <f t="shared" si="1"/>
        <v>domingo</v>
      </c>
      <c r="G99" s="6">
        <f t="shared" si="2"/>
        <v>46315</v>
      </c>
      <c r="H99" s="6">
        <f>_xlfn.WORKDAY.INTL(E99-1, 1, 1, Tabela_1[Dias sem expediente])</f>
        <v>45971</v>
      </c>
      <c r="I99" s="7" t="str">
        <f t="shared" si="3"/>
        <v>segunda-feira</v>
      </c>
    </row>
    <row r="100" ht="22.5" customHeight="1">
      <c r="A100" s="3" t="s">
        <v>14</v>
      </c>
      <c r="B100" s="3" t="s">
        <v>116</v>
      </c>
      <c r="C100" s="3"/>
      <c r="D100" s="4">
        <v>99968.0</v>
      </c>
      <c r="E100" s="5">
        <v>45972.0</v>
      </c>
      <c r="F100" s="3" t="str">
        <f t="shared" si="1"/>
        <v>terça-feira</v>
      </c>
      <c r="G100" s="6">
        <f t="shared" si="2"/>
        <v>46317</v>
      </c>
      <c r="H100" s="6">
        <f>_xlfn.WORKDAY.INTL(E100-1, 1, 1, Tabela_1[Dias sem expediente])</f>
        <v>45972</v>
      </c>
      <c r="I100" s="7" t="str">
        <f t="shared" si="3"/>
        <v>terça-feira</v>
      </c>
    </row>
    <row r="101" ht="22.5" customHeight="1">
      <c r="A101" s="3" t="s">
        <v>11</v>
      </c>
      <c r="B101" s="3" t="s">
        <v>117</v>
      </c>
      <c r="C101" s="3"/>
      <c r="D101" s="4">
        <v>97917.0</v>
      </c>
      <c r="E101" s="5">
        <v>45995.0</v>
      </c>
      <c r="F101" s="3" t="str">
        <f t="shared" si="1"/>
        <v>quinta-feira</v>
      </c>
      <c r="G101" s="6">
        <f t="shared" si="2"/>
        <v>46340</v>
      </c>
      <c r="H101" s="6">
        <f>_xlfn.WORKDAY.INTL(E101-1, 1, 1, Tabela_1[Dias sem expediente])</f>
        <v>45995</v>
      </c>
      <c r="I101" s="7" t="str">
        <f t="shared" si="3"/>
        <v>quinta-feira</v>
      </c>
    </row>
    <row r="102" ht="22.5" customHeight="1">
      <c r="A102" s="3" t="s">
        <v>44</v>
      </c>
      <c r="B102" s="3" t="s">
        <v>118</v>
      </c>
      <c r="C102" s="3"/>
      <c r="D102" s="4">
        <v>97365.0</v>
      </c>
      <c r="E102" s="5">
        <v>45997.0</v>
      </c>
      <c r="F102" s="3" t="str">
        <f t="shared" si="1"/>
        <v>sábado</v>
      </c>
      <c r="G102" s="6">
        <f t="shared" si="2"/>
        <v>46342</v>
      </c>
      <c r="H102" s="6">
        <f>_xlfn.WORKDAY.INTL(E102-1, 1, 1, Tabela_1[Dias sem expediente])</f>
        <v>45999</v>
      </c>
      <c r="I102" s="7" t="str">
        <f t="shared" si="3"/>
        <v>segunda-feira</v>
      </c>
    </row>
    <row r="103" ht="22.5" customHeight="1">
      <c r="A103" s="3" t="s">
        <v>44</v>
      </c>
      <c r="B103" s="3" t="s">
        <v>119</v>
      </c>
      <c r="C103" s="3"/>
      <c r="D103" s="4">
        <v>88718.0</v>
      </c>
      <c r="E103" s="5">
        <v>45999.0</v>
      </c>
      <c r="F103" s="3" t="str">
        <f t="shared" si="1"/>
        <v>segunda-feira</v>
      </c>
      <c r="G103" s="6">
        <f t="shared" si="2"/>
        <v>46344</v>
      </c>
      <c r="H103" s="6">
        <f>_xlfn.WORKDAY.INTL(E103-1, 1, 1, Tabela_1[Dias sem expediente])</f>
        <v>45999</v>
      </c>
      <c r="I103" s="7" t="str">
        <f t="shared" si="3"/>
        <v>segunda-feira</v>
      </c>
    </row>
    <row r="104" ht="22.5" customHeight="1">
      <c r="A104" s="3" t="s">
        <v>44</v>
      </c>
      <c r="B104" s="3" t="s">
        <v>120</v>
      </c>
      <c r="C104" s="3"/>
      <c r="D104" s="4">
        <v>88720.0</v>
      </c>
      <c r="E104" s="5">
        <v>46005.0</v>
      </c>
      <c r="F104" s="3" t="str">
        <f t="shared" si="1"/>
        <v>domingo</v>
      </c>
      <c r="G104" s="6">
        <f t="shared" si="2"/>
        <v>45985</v>
      </c>
      <c r="H104" s="6">
        <f>_xlfn.WORKDAY.INTL(E104-1, 1, 1, Tabela_1[Dias sem expediente])</f>
        <v>46006</v>
      </c>
      <c r="I104" s="7" t="str">
        <f t="shared" si="3"/>
        <v>segunda-feira</v>
      </c>
    </row>
    <row r="105" ht="22.5" customHeight="1">
      <c r="A105" s="3" t="s">
        <v>11</v>
      </c>
      <c r="B105" s="3" t="s">
        <v>121</v>
      </c>
      <c r="C105" s="3"/>
      <c r="D105" s="4">
        <v>93374.0</v>
      </c>
      <c r="E105" s="5">
        <v>46006.0</v>
      </c>
      <c r="F105" s="3" t="str">
        <f t="shared" si="1"/>
        <v>segunda-feira</v>
      </c>
      <c r="G105" s="6">
        <f t="shared" si="2"/>
        <v>45986</v>
      </c>
      <c r="H105" s="6">
        <f>_xlfn.WORKDAY.INTL(E105-1, 1, 1, Tabela_1[Dias sem expediente])</f>
        <v>46006</v>
      </c>
      <c r="I105" s="7" t="str">
        <f t="shared" si="3"/>
        <v>segunda-feira</v>
      </c>
    </row>
    <row r="106" ht="22.5" customHeight="1">
      <c r="A106" s="3" t="s">
        <v>44</v>
      </c>
      <c r="B106" s="3" t="s">
        <v>122</v>
      </c>
      <c r="C106" s="3"/>
      <c r="D106" s="4">
        <v>79885.0</v>
      </c>
      <c r="E106" s="5">
        <v>46008.0</v>
      </c>
      <c r="F106" s="3" t="str">
        <f t="shared" si="1"/>
        <v>quarta-feira</v>
      </c>
      <c r="G106" s="6">
        <f t="shared" si="2"/>
        <v>45988</v>
      </c>
      <c r="H106" s="6">
        <f>_xlfn.WORKDAY.INTL(E106-1, 1, 1, Tabela_1[Dias sem expediente])</f>
        <v>46008</v>
      </c>
      <c r="I106" s="7" t="str">
        <f t="shared" si="3"/>
        <v>quarta-feira</v>
      </c>
    </row>
    <row r="107" ht="22.5" customHeight="1">
      <c r="A107" s="3" t="s">
        <v>21</v>
      </c>
      <c r="B107" s="3" t="s">
        <v>123</v>
      </c>
      <c r="C107" s="3"/>
      <c r="D107" s="4">
        <v>88702.0</v>
      </c>
      <c r="E107" s="5">
        <v>46008.0</v>
      </c>
      <c r="F107" s="3" t="str">
        <f t="shared" si="1"/>
        <v>quarta-feira</v>
      </c>
      <c r="G107" s="6">
        <f t="shared" si="2"/>
        <v>45988</v>
      </c>
      <c r="H107" s="6">
        <f>_xlfn.WORKDAY.INTL(E107-1, 1, 1, Tabela_1[Dias sem expediente])</f>
        <v>46008</v>
      </c>
      <c r="I107" s="7" t="str">
        <f t="shared" si="3"/>
        <v>quarta-feira</v>
      </c>
    </row>
    <row r="108" ht="22.5" customHeight="1">
      <c r="A108" s="3" t="s">
        <v>21</v>
      </c>
      <c r="B108" s="3" t="s">
        <v>124</v>
      </c>
      <c r="C108" s="3"/>
      <c r="D108" s="4">
        <v>51441.0</v>
      </c>
      <c r="E108" s="5">
        <v>46010.0</v>
      </c>
      <c r="F108" s="3" t="str">
        <f t="shared" si="1"/>
        <v>sexta-feira</v>
      </c>
      <c r="G108" s="6">
        <f t="shared" si="2"/>
        <v>45990</v>
      </c>
      <c r="H108" s="6">
        <f>_xlfn.WORKDAY.INTL(E108-1, 1, 1, Tabela_1[Dias sem expediente])</f>
        <v>46010</v>
      </c>
      <c r="I108" s="7" t="str">
        <f t="shared" si="3"/>
        <v>sexta-feira</v>
      </c>
    </row>
    <row r="109" ht="22.5" customHeight="1">
      <c r="A109" s="3" t="s">
        <v>11</v>
      </c>
      <c r="B109" s="3" t="s">
        <v>125</v>
      </c>
      <c r="C109" s="3"/>
      <c r="D109" s="4">
        <v>79415.0</v>
      </c>
      <c r="E109" s="5">
        <v>46012.0</v>
      </c>
      <c r="F109" s="3" t="str">
        <f t="shared" si="1"/>
        <v>domingo</v>
      </c>
      <c r="G109" s="6">
        <f t="shared" si="2"/>
        <v>45992</v>
      </c>
      <c r="H109" s="6">
        <f>_xlfn.WORKDAY.INTL(E109-1, 1, 1, Tabela_1[Dias sem expediente])</f>
        <v>46013</v>
      </c>
      <c r="I109" s="7" t="str">
        <f t="shared" si="3"/>
        <v>segunda-feira</v>
      </c>
    </row>
    <row r="110" ht="22.5" customHeight="1">
      <c r="A110" s="3" t="s">
        <v>14</v>
      </c>
      <c r="B110" s="3" t="s">
        <v>126</v>
      </c>
      <c r="C110" s="3"/>
      <c r="D110" s="4">
        <v>93366.0</v>
      </c>
      <c r="E110" s="5">
        <v>46013.0</v>
      </c>
      <c r="F110" s="3" t="str">
        <f t="shared" si="1"/>
        <v>segunda-feira</v>
      </c>
      <c r="G110" s="6">
        <f t="shared" si="2"/>
        <v>45993</v>
      </c>
      <c r="H110" s="6">
        <f>_xlfn.WORKDAY.INTL(E110-1, 1, 1, Tabela_1[Dias sem expediente])</f>
        <v>46013</v>
      </c>
      <c r="I110" s="7" t="str">
        <f t="shared" si="3"/>
        <v>segunda-feira</v>
      </c>
    </row>
    <row r="111" ht="22.5" customHeight="1">
      <c r="A111" s="3" t="s">
        <v>11</v>
      </c>
      <c r="B111" s="3" t="s">
        <v>127</v>
      </c>
      <c r="C111" s="3"/>
      <c r="D111" s="4">
        <v>90081.0</v>
      </c>
      <c r="E111" s="5">
        <v>46017.0</v>
      </c>
      <c r="F111" s="3" t="str">
        <f t="shared" si="1"/>
        <v>sexta-feira</v>
      </c>
      <c r="G111" s="6">
        <f t="shared" si="2"/>
        <v>45997</v>
      </c>
      <c r="H111" s="6">
        <f>_xlfn.WORKDAY.INTL(E111-1, 1, 1, Tabela_1[Dias sem expediente])</f>
        <v>46017</v>
      </c>
      <c r="I111" s="7" t="str">
        <f t="shared" si="3"/>
        <v>sexta-feira</v>
      </c>
    </row>
    <row r="112" ht="22.5" customHeight="1">
      <c r="A112" s="3" t="s">
        <v>36</v>
      </c>
      <c r="B112" s="3" t="s">
        <v>128</v>
      </c>
      <c r="C112" s="3" t="s">
        <v>89</v>
      </c>
      <c r="D112" s="4">
        <v>90234.0</v>
      </c>
      <c r="E112" s="5">
        <v>46018.0</v>
      </c>
      <c r="F112" s="3" t="str">
        <f t="shared" si="1"/>
        <v>sábado</v>
      </c>
      <c r="G112" s="6">
        <f t="shared" si="2"/>
        <v>45998</v>
      </c>
      <c r="H112" s="6">
        <f>_xlfn.WORKDAY.INTL(E112-1, 1, 1, Tabela_1[Dias sem expediente])</f>
        <v>46020</v>
      </c>
      <c r="I112" s="7" t="str">
        <f t="shared" si="3"/>
        <v>segunda-feira</v>
      </c>
    </row>
  </sheetData>
  <dataValidations>
    <dataValidation type="custom" allowBlank="1" showDropDown="1" sqref="E2:E112 H2:H112">
      <formula1>OR(NOT(ISERROR(DATEVALUE(E2))), AND(ISNUMBER(E2), LEFT(CELL("format", E2))="D"))</formula1>
    </dataValidation>
    <dataValidation type="custom" allowBlank="1" showDropDown="1" sqref="D2:D112">
      <formula1>AND(ISNUMBER(D2),(NOT(OR(NOT(ISERROR(DATEVALUE(D2))), AND(ISNUMBER(D2), LEFT(CELL("format", D2))="D")))))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20.25"/>
  </cols>
  <sheetData>
    <row r="2" ht="22.5" customHeight="1">
      <c r="B2" s="1" t="s">
        <v>129</v>
      </c>
    </row>
    <row r="3" ht="22.5" customHeight="1">
      <c r="B3" s="8">
        <v>45976.0</v>
      </c>
    </row>
    <row r="4" ht="22.5" customHeight="1">
      <c r="B4" s="8">
        <v>45981.0</v>
      </c>
    </row>
    <row r="5" ht="22.5" customHeight="1">
      <c r="B5" s="8">
        <v>45982.0</v>
      </c>
    </row>
    <row r="6" ht="22.5" customHeight="1">
      <c r="B6" s="9">
        <v>45969.0</v>
      </c>
    </row>
    <row r="7" ht="22.5" customHeight="1">
      <c r="B7" s="8">
        <v>46016.0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24.25"/>
    <col customWidth="1" min="3" max="3" width="10.25"/>
  </cols>
  <sheetData>
    <row r="1">
      <c r="A1" s="10" t="s">
        <v>1</v>
      </c>
      <c r="B1" s="10" t="s">
        <v>0</v>
      </c>
      <c r="C1" s="10" t="s">
        <v>130</v>
      </c>
      <c r="D1" s="10" t="s">
        <v>131</v>
      </c>
      <c r="E1" s="10" t="s">
        <v>132</v>
      </c>
    </row>
    <row r="2">
      <c r="A2" s="11" t="str">
        <f>IFERROR(__xludf.DUMMYFUNCTION("IFERROR(SORTN(FILTER({'Banco de dados'!B2:B999,'Banco de dados'!A2:A999,'Banco de dados'!E2:E999,'Banco de dados'!L2:L999,'Banco de dados'!M2:M999}, 'Banco de dados'!M2:M999 &gt;= 0), 5, 0, 5, TRUE), ""Nenhum aviso futuro encontrado para acionamento."")"),"JOCEMAR DA SILVA")</f>
        <v>JOCEMAR DA SILVA</v>
      </c>
      <c r="B2" s="11" t="str">
        <f>IFERROR(__xludf.DUMMYFUNCTION("""COMPUTED_VALUE"""),"FB LIMPEZA-02/2025")</f>
        <v>FB LIMPEZA-02/2025</v>
      </c>
      <c r="C2" s="12">
        <f>IFERROR(__xludf.DUMMYFUNCTION("""COMPUTED_VALUE"""),45663.0)</f>
        <v>45663</v>
      </c>
      <c r="D2" s="11"/>
      <c r="E2" s="11"/>
    </row>
    <row r="3">
      <c r="A3" s="11" t="str">
        <f>IFERROR(__xludf.DUMMYFUNCTION("""COMPUTED_VALUE"""),"NILZA CARLA DA SILVA")</f>
        <v>NILZA CARLA DA SILVA</v>
      </c>
      <c r="B3" s="11" t="str">
        <f>IFERROR(__xludf.DUMMYFUNCTION("""COMPUTED_VALUE"""),"FB LIMPEZA-02/2025")</f>
        <v>FB LIMPEZA-02/2025</v>
      </c>
      <c r="C3" s="12">
        <f>IFERROR(__xludf.DUMMYFUNCTION("""COMPUTED_VALUE"""),45669.0)</f>
        <v>45669</v>
      </c>
      <c r="D3" s="11"/>
      <c r="E3" s="11"/>
    </row>
    <row r="4">
      <c r="A4" s="11" t="str">
        <f>IFERROR(__xludf.DUMMYFUNCTION("""COMPUTED_VALUE"""),"PEDRO HENRIQUE GRIJÓ FREITAS")</f>
        <v>PEDRO HENRIQUE GRIJÓ FREITAS</v>
      </c>
      <c r="B4" s="11" t="str">
        <f>IFERROR(__xludf.DUMMYFUNCTION("""COMPUTED_VALUE"""),"VINIL OPERACIONAL-06/2021")</f>
        <v>VINIL OPERACIONAL-06/2021</v>
      </c>
      <c r="C4" s="12">
        <f>IFERROR(__xludf.DUMMYFUNCTION("""COMPUTED_VALUE"""),45671.0)</f>
        <v>45671</v>
      </c>
      <c r="D4" s="11"/>
      <c r="E4" s="11"/>
    </row>
    <row r="5">
      <c r="A5" s="11" t="str">
        <f>IFERROR(__xludf.DUMMYFUNCTION("""COMPUTED_VALUE"""),"MIRIAM MARIA DA SILVA")</f>
        <v>MIRIAM MARIA DA SILVA</v>
      </c>
      <c r="B5" s="11" t="str">
        <f>IFERROR(__xludf.DUMMYFUNCTION("""COMPUTED_VALUE"""),"FB LIMPEZA-02/2025")</f>
        <v>FB LIMPEZA-02/2025</v>
      </c>
      <c r="C5" s="12">
        <f>IFERROR(__xludf.DUMMYFUNCTION("""COMPUTED_VALUE"""),45672.0)</f>
        <v>45672</v>
      </c>
      <c r="D5" s="11"/>
      <c r="E5" s="11"/>
    </row>
    <row r="6">
      <c r="A6" s="11" t="str">
        <f>IFERROR(__xludf.DUMMYFUNCTION("""COMPUTED_VALUE"""),"ALCENIRA DE AZEREDO COUTINHO")</f>
        <v>ALCENIRA DE AZEREDO COUTINHO</v>
      </c>
      <c r="B6" s="11" t="str">
        <f>IFERROR(__xludf.DUMMYFUNCTION("""COMPUTED_VALUE"""),"FB LIMPEZA-02/2025")</f>
        <v>FB LIMPEZA-02/2025</v>
      </c>
      <c r="C6" s="12">
        <f>IFERROR(__xludf.DUMMYFUNCTION("""COMPUTED_VALUE"""),45675.0)</f>
        <v>45675</v>
      </c>
      <c r="D6" s="11"/>
      <c r="E6" s="11"/>
    </row>
  </sheetData>
  <drawing r:id="rId1"/>
</worksheet>
</file>